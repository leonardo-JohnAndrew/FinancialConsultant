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Financial_System\financial-app\public\uploads\vouchers\"/>
    </mc:Choice>
  </mc:AlternateContent>
  <xr:revisionPtr revIDLastSave="0" documentId="13_ncr:1_{A8374287-9FF0-417C-85A5-D98A693B503A}" xr6:coauthVersionLast="47" xr6:coauthVersionMax="47" xr10:uidLastSave="{00000000-0000-0000-0000-000000000000}"/>
  <bookViews>
    <workbookView xWindow="5700" yWindow="1575" windowWidth="21120" windowHeight="13905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10016COH_Subic_Clark_Tarlac">gllist</definedName>
    <definedName name="DDList">'[1]Transition Table'!$J$3:$J$160</definedName>
    <definedName name="glaccounts">'[2]Validation Table'!$A$3:$A$205</definedName>
    <definedName name="gllist">#REF!</definedName>
    <definedName name="LocalCOA">[3]criteria!$A$3:$A$103</definedName>
    <definedName name="OCDDList">'[4]Transition Table'!$I$3:$I$160</definedName>
    <definedName name="sheet">#REF!</definedName>
    <definedName name="Vat_Rate">#REF!</definedName>
    <definedName name="Vatcodes">'[2]Validation Table'!$D$3:$D$12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" i="1" l="1"/>
  <c r="M43" i="1"/>
  <c r="O39" i="1"/>
  <c r="O37" i="1"/>
  <c r="A32" i="1"/>
  <c r="O19" i="1"/>
  <c r="A8" i="1"/>
</calcChain>
</file>

<file path=xl/sharedStrings.xml><?xml version="1.0" encoding="utf-8"?>
<sst xmlns="http://schemas.openxmlformats.org/spreadsheetml/2006/main" count="66" uniqueCount="44">
  <si>
    <t>slip#</t>
  </si>
  <si>
    <t>PAYMENT VOUCHER</t>
  </si>
  <si>
    <t>{category}</t>
  </si>
  <si>
    <t>PM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</si>
  <si>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</si>
  <si>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</si>
  <si>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</si>
  <si>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</si>
  <si>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</si>
  <si>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</si>
  <si>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</si>
  <si>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</si>
  <si>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</si>
  <si>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</si>
  <si>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</si>
  <si>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</si>
  <si>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</si>
  <si>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</si>
  <si>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</si>
  <si>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</si>
  <si>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</si>
  <si>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</si>
  <si>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</si>
  <si>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</si>
  <si>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</si>
  <si>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Purchase of Various medicines for Office Consumption with SI#125269</t>
  </si>
  <si>
    <t>PHP</t>
  </si>
  <si>
    <t>Purchase of Various medicines for Office Consumption with SI#125270</t>
  </si>
  <si>
    <t>ISSUING DEPT.</t>
  </si>
  <si>
    <t>TOTAL</t>
  </si>
  <si>
    <t>JOB DEPT.</t>
  </si>
  <si>
    <t xml:space="preserve">  Claimable</t>
  </si>
  <si>
    <t xml:space="preserve">  Non-Claimable</t>
  </si>
  <si>
    <t>{category2}</t>
  </si>
  <si>
    <t>{category_value2}</t>
  </si>
  <si>
    <t>{year_21}</t>
  </si>
  <si>
    <t>{year22}</t>
  </si>
  <si>
    <t>{month21}</t>
  </si>
  <si>
    <t>{month22}</t>
  </si>
  <si>
    <t>{account_code2}</t>
  </si>
  <si>
    <t>{title2}</t>
  </si>
  <si>
    <t>{gl_code2}</t>
  </si>
  <si>
    <t>12% VAT Purchase of Various medicines for Office Consumption with SI#125269</t>
  </si>
  <si>
    <t>12% VAT Purchase of Various medicines for Office Consumption with SI#125270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</si>
</sst>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-* #,##0.00_-;\-* #,##0.00_-;_-* &quot;-&quot;??_-;_-@"/>
    <numFmt numFmtId="166" formatCode="_(* #,##0.000_);_(* \(#,##0.000\);_(* &quot;-&quot;??_);_(@_)"/>
  </numFmts>
  <fonts count="12">
    <font>
      <sz val="10"/>
      <color rgb="FF000000"/>
      <name val="Arial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Arial"/>
      <charset val="134"/>
      <scheme val="minor"/>
    </font>
    <font>
      <i/>
      <sz val="10"/>
      <color theme="1"/>
      <name val="Lucida Bright"/>
      <charset val="134"/>
    </font>
    <font>
      <i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10"/>
      <color theme="1"/>
      <name val="Lucida Bright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15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12" xfId="0" applyFont="1" applyBorder="1"/>
    <xf numFmtId="0" fontId="6" fillId="0" borderId="13" xfId="0" applyFont="1" applyBorder="1" applyAlignment="1">
      <alignment horizontal="center" vertical="center" wrapText="1"/>
    </xf>
    <xf numFmtId="0" fontId="5" fillId="0" borderId="14" xfId="0" applyFont="1" applyBorder="1"/>
    <xf numFmtId="0" fontId="9" fillId="0" borderId="6" xfId="0" applyFont="1" applyBorder="1" applyAlignment="1">
      <alignment horizontal="center" vertical="center"/>
    </xf>
    <xf numFmtId="0" fontId="5" fillId="0" borderId="8" xfId="0" applyFont="1" applyBorder="1"/>
    <xf numFmtId="0" fontId="5" fillId="0" borderId="11" xfId="0" applyFont="1" applyBorder="1"/>
    <xf numFmtId="49" fontId="6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9" xfId="0" applyFont="1" applyBorder="1"/>
    <xf numFmtId="0" fontId="0" fillId="0" borderId="0" xfId="0"/>
    <xf numFmtId="0" fontId="5" fillId="0" borderId="10" xfId="0" applyFont="1" applyBorder="1"/>
    <xf numFmtId="0" fontId="5" fillId="0" borderId="1" xfId="0" applyFont="1" applyBorder="1"/>
    <xf numFmtId="0" fontId="6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166" fontId="6" fillId="0" borderId="3" xfId="0" applyNumberFormat="1" applyFont="1" applyBorder="1" applyAlignment="1">
      <alignment vertical="center"/>
    </xf>
    <xf numFmtId="164" fontId="11" fillId="0" borderId="6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164" fontId="6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trnstren-my.sharepoint.com/personal/delrosario-c75_nstren_com/Documents/Desktop/Ruth%20files/Payment%20Voucher/Cash%20Voucher%20-%20Vic%20(updated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02\accounting\My%20Documents\422P\Exact\Cashbook%20sample-Malo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otrnstren-my.sharepoint.com\Users\User\Desktop\Users\laabellar\Desktop\MANUAL%20422P%20Branch%20Accounting%20Report-OCC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11-2012\F%20Accounting%20Report\Accounting%20Report%201206\422P%20Branch%20Accounting%20Report%201206-OCC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Code"/>
      <sheetName val="Transition Table"/>
      <sheetName val="Manual"/>
      <sheetName val="Flower"/>
      <sheetName val="pdfscape"/>
      <sheetName val="Line 5,6"/>
      <sheetName val="2499"/>
      <sheetName val="799"/>
      <sheetName val="starlink"/>
      <sheetName val="sanford"/>
      <sheetName val="Medicines"/>
      <sheetName val="kareila"/>
      <sheetName val="synology"/>
      <sheetName val="Southeast"/>
      <sheetName val="sf"/>
      <sheetName val="BDOSf"/>
      <sheetName val="Cparty"/>
      <sheetName val="Refill Ink"/>
      <sheetName val="sf Pldt (2)"/>
      <sheetName val="Buss Prmt"/>
      <sheetName val="Date"/>
      <sheetName val="PCF1"/>
      <sheetName val="PCF2"/>
      <sheetName val="PCF3"/>
      <sheetName val="PCF4"/>
      <sheetName val="PCF5"/>
      <sheetName val="PCF6"/>
      <sheetName val="Travel"/>
      <sheetName val="Sheet1"/>
      <sheetName val="Leave"/>
      <sheetName val="CA"/>
      <sheetName val="Taxi fare"/>
      <sheetName val="Compatibility Report"/>
      <sheetName val="Cheque"/>
      <sheetName val="Cash Advance"/>
      <sheetName val="CA-Liquidation"/>
      <sheetName val="Notary"/>
      <sheetName val="Notary (2)"/>
      <sheetName val="Bank Cert."/>
      <sheetName val="DHL"/>
      <sheetName val="Returned Cheque"/>
      <sheetName val="Cash Allowance"/>
      <sheetName val="OT Driver"/>
      <sheetName val="Grab"/>
      <sheetName val="Allowance - Omori"/>
      <sheetName val="Receipt Voucher"/>
      <sheetName val="Cash Advance (2)"/>
      <sheetName val="Cash Advance (3)"/>
      <sheetName val="Biscuits"/>
      <sheetName val="Meals - doctors"/>
      <sheetName val="Receipt Voucher (2)"/>
      <sheetName val="Bank Cert. (2)"/>
      <sheetName val="ink"/>
      <sheetName val="Band for Cmas Party"/>
      <sheetName val="Mobile bar for Cmas Party (2)"/>
      <sheetName val="Tyeso"/>
      <sheetName val="Refill Ink (2)"/>
      <sheetName val="Business Card"/>
      <sheetName val="picture frame"/>
      <sheetName val="Grazing"/>
      <sheetName val="Fliht"/>
      <sheetName val="ECC"/>
      <sheetName val="ECC (2)"/>
      <sheetName val="Business Permit"/>
      <sheetName val="Business Permit (2)"/>
      <sheetName val="Business Permit (3)"/>
      <sheetName val="CA-receipt"/>
      <sheetName val="CA-receip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 for checking"/>
      <sheetName val="Accounting Report Monitoring"/>
      <sheetName val="USDBank"/>
      <sheetName val="USDCash"/>
      <sheetName val="PHPBank"/>
      <sheetName val="PHPCash"/>
      <sheetName val="PHPBank(2)"/>
      <sheetName val="GL count"/>
      <sheetName val="Account Code"/>
      <sheetName val="Validation Table"/>
      <sheetName val="Transition Table"/>
      <sheetName val="汎用ﾃﾞｰﾀ照会 (ICATVIEW_ICAT)"/>
      <sheetName val="ZPX500P"/>
      <sheetName val="Sheet3"/>
      <sheetName val="TASK LIST"/>
      <sheetName val="JICA-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ransition Table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sheet"/>
      <sheetName val="finacing"/>
      <sheetName val="currentsituation"/>
      <sheetName val="staffing"/>
      <sheetName val="criteria"/>
      <sheetName val="CashBook (US$bank) (2)"/>
      <sheetName val="CashBook (US$cash)"/>
      <sheetName val="CashBook (PSbank) (2)"/>
      <sheetName val="CashBook (PScash)"/>
      <sheetName val="CashBook (PScash) (2)"/>
      <sheetName val="CashBook (Vat)"/>
      <sheetName val="CashBook (Yenbank)"/>
      <sheetName val="Account Code"/>
      <sheetName val="Transition Table"/>
      <sheetName val="Fund Requ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1000"/>
  <sheetViews>
    <sheetView tabSelected="1" topLeftCell="A19" workbookViewId="0">
      <selection activeCell="Y41" sqref="Y41"/>
    </sheetView>
  </sheetViews>
  <sheetFormatPr defaultColWidth="12.5703125" defaultRowHeight="15" customHeight="1"/>
  <cols>
    <col min="1" max="10" width="2.28515625" customWidth="1"/>
    <col min="11" max="11" width="6.7109375" customWidth="1"/>
    <col min="12" max="12" width="35.7109375" customWidth="1"/>
    <col min="13" max="21" width="2.7109375" customWidth="1"/>
    <col min="22" max="22" width="9.140625" customWidth="1"/>
    <col min="23" max="23" width="10.5703125" customWidth="1"/>
    <col min="24" max="24" width="9.140625" customWidth="1"/>
    <col min="25" max="25" width="10.5703125" customWidth="1"/>
    <col min="26" max="26" width="9.140625" customWidth="1"/>
    <col min="27" max="27" width="10.85546875" customWidth="1"/>
  </cols>
  <sheetData>
    <row r="1" spans="1:27" ht="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0</v>
      </c>
      <c r="S2" s="3"/>
      <c r="T2" s="3"/>
      <c r="U2" s="3"/>
      <c r="V2" s="1"/>
      <c r="W2" s="1"/>
      <c r="X2" s="1"/>
      <c r="Y2" s="1"/>
      <c r="Z2" s="1"/>
      <c r="AA2" s="1"/>
    </row>
    <row r="3" spans="1:27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1"/>
      <c r="L4" s="1"/>
      <c r="M4" s="1"/>
      <c r="N4" s="63" t="s">
        <v>2</v>
      </c>
      <c r="O4" s="48"/>
      <c r="P4" s="48"/>
      <c r="Q4" s="49"/>
      <c r="R4" s="7"/>
      <c r="S4" s="8" t="s">
        <v>3</v>
      </c>
      <c r="T4" s="9"/>
      <c r="U4" s="10"/>
      <c r="V4" s="1"/>
      <c r="W4" s="1"/>
      <c r="X4" s="1"/>
      <c r="Y4" s="1"/>
      <c r="Z4" s="1"/>
      <c r="AA4" s="1"/>
    </row>
    <row r="5" spans="1:27" ht="12.75" customHeight="1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"/>
      <c r="M5" s="1"/>
      <c r="N5" s="60" t="s">
        <v>5</v>
      </c>
      <c r="O5" s="40"/>
      <c r="P5" s="40"/>
      <c r="Q5" s="37"/>
      <c r="R5" s="12"/>
      <c r="S5" s="1"/>
      <c r="T5" s="1"/>
      <c r="U5" s="13"/>
      <c r="V5" s="1"/>
      <c r="W5" s="1"/>
      <c r="X5" s="1"/>
      <c r="Y5" s="1"/>
      <c r="Z5" s="1"/>
      <c r="AA5" s="1"/>
    </row>
    <row r="6" spans="1:27" ht="12.75" customHeight="1">
      <c r="A6" s="14" t="s">
        <v>6</v>
      </c>
      <c r="B6" s="14" t="s">
        <v>7</v>
      </c>
      <c r="C6" s="1" t="s">
        <v>8</v>
      </c>
      <c r="D6" s="1"/>
      <c r="E6" s="14" t="s">
        <v>9</v>
      </c>
      <c r="F6" s="14" t="s">
        <v>10</v>
      </c>
      <c r="G6" s="1" t="s">
        <v>11</v>
      </c>
      <c r="H6" s="1"/>
      <c r="I6" s="14"/>
      <c r="J6" s="14"/>
      <c r="K6" s="1" t="s">
        <v>12</v>
      </c>
      <c r="L6" s="1"/>
      <c r="M6" s="1"/>
      <c r="N6" s="64"/>
      <c r="O6" s="42"/>
      <c r="P6" s="42"/>
      <c r="Q6" s="43"/>
      <c r="R6" s="12"/>
      <c r="S6" s="1"/>
      <c r="T6" s="1"/>
      <c r="U6" s="13"/>
      <c r="V6" s="1"/>
      <c r="W6" s="1"/>
      <c r="X6" s="1"/>
      <c r="Y6" s="1"/>
      <c r="Z6" s="1"/>
      <c r="AA6" s="1"/>
    </row>
    <row r="7" spans="1:27" ht="12.75" customHeight="1">
      <c r="A7" s="1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5"/>
      <c r="O7" s="3"/>
      <c r="P7" s="3"/>
      <c r="Q7" s="3"/>
      <c r="R7" s="15"/>
      <c r="S7" s="3"/>
      <c r="T7" s="3"/>
      <c r="U7" s="16"/>
      <c r="V7" s="1"/>
      <c r="W7" s="1"/>
      <c r="X7" s="1"/>
      <c r="Y7" s="1"/>
      <c r="Z7" s="1"/>
      <c r="AA7" s="1"/>
    </row>
    <row r="8" spans="1:27" ht="12.75" customHeight="1">
      <c r="A8" s="1" t="str">
        <f>IF(ISNUMBER(SEARCH("Cash",N4)),"",IF(ISNUMBER(SEARCH("USD",M13)),"","Check No."))</f>
        <v>Check No.</v>
      </c>
      <c r="B8" s="1"/>
      <c r="C8" s="1"/>
      <c r="D8" s="1"/>
      <c r="E8" s="52"/>
      <c r="F8" s="44"/>
      <c r="G8" s="44"/>
      <c r="H8" s="44"/>
      <c r="I8" s="44"/>
      <c r="J8" s="44"/>
      <c r="K8" s="1"/>
      <c r="L8" s="17" t="s">
        <v>13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>
      <c r="A9" s="53" t="s">
        <v>14</v>
      </c>
      <c r="B9" s="40"/>
      <c r="C9" s="40"/>
      <c r="D9" s="37"/>
      <c r="E9" s="54" t="s">
        <v>15</v>
      </c>
      <c r="F9" s="40"/>
      <c r="G9" s="40"/>
      <c r="H9" s="40"/>
      <c r="I9" s="40"/>
      <c r="J9" s="37"/>
      <c r="K9" s="57" t="s">
        <v>16</v>
      </c>
      <c r="L9" s="34" t="s">
        <v>17</v>
      </c>
      <c r="M9" s="58" t="s">
        <v>18</v>
      </c>
      <c r="N9" s="40"/>
      <c r="O9" s="40"/>
      <c r="P9" s="40"/>
      <c r="Q9" s="40"/>
      <c r="R9" s="40"/>
      <c r="S9" s="40"/>
      <c r="T9" s="40"/>
      <c r="U9" s="37"/>
      <c r="V9" s="1"/>
      <c r="W9" s="1"/>
      <c r="X9" s="1"/>
      <c r="Y9" s="1"/>
      <c r="Z9" s="1"/>
      <c r="AA9" s="1"/>
    </row>
    <row r="10" spans="1:27" ht="18" customHeight="1">
      <c r="A10" s="55" t="s">
        <v>19</v>
      </c>
      <c r="B10" s="44"/>
      <c r="C10" s="44"/>
      <c r="D10" s="33"/>
      <c r="E10" s="56" t="s">
        <v>20</v>
      </c>
      <c r="F10" s="44"/>
      <c r="G10" s="44"/>
      <c r="H10" s="44"/>
      <c r="I10" s="44"/>
      <c r="J10" s="33"/>
      <c r="K10" s="35"/>
      <c r="L10" s="35"/>
      <c r="M10" s="38"/>
      <c r="N10" s="44"/>
      <c r="O10" s="44"/>
      <c r="P10" s="44"/>
      <c r="Q10" s="44"/>
      <c r="R10" s="44"/>
      <c r="S10" s="44"/>
      <c r="T10" s="44"/>
      <c r="U10" s="33"/>
      <c r="V10" s="1"/>
      <c r="W10" s="1"/>
      <c r="X10" s="1"/>
      <c r="Y10" s="1"/>
      <c r="Z10" s="1"/>
      <c r="AA10" s="1"/>
    </row>
    <row r="11" spans="1:27" ht="12.75" customHeight="1">
      <c r="A11" s="47" t="s">
        <v>21</v>
      </c>
      <c r="B11" s="48"/>
      <c r="C11" s="48"/>
      <c r="D11" s="48"/>
      <c r="E11" s="48"/>
      <c r="F11" s="48"/>
      <c r="G11" s="48"/>
      <c r="H11" s="48"/>
      <c r="I11" s="48"/>
      <c r="J11" s="49"/>
      <c r="K11" s="36" t="s">
        <v>22</v>
      </c>
      <c r="L11" s="37"/>
      <c r="M11" s="61" t="s">
        <v>23</v>
      </c>
      <c r="N11" s="48"/>
      <c r="O11" s="48"/>
      <c r="P11" s="48"/>
      <c r="Q11" s="48"/>
      <c r="R11" s="48"/>
      <c r="S11" s="48"/>
      <c r="T11" s="48"/>
      <c r="U11" s="49"/>
      <c r="V11" s="1"/>
      <c r="W11" s="1"/>
      <c r="X11" s="1"/>
      <c r="Y11" s="1"/>
      <c r="Z11" s="1"/>
      <c r="AA11" s="1"/>
    </row>
    <row r="12" spans="1:27" ht="12.75" customHeight="1">
      <c r="A12" s="18">
        <v>4</v>
      </c>
      <c r="B12" s="18">
        <v>5</v>
      </c>
      <c r="C12" s="18">
        <v>6</v>
      </c>
      <c r="D12" s="18">
        <v>7</v>
      </c>
      <c r="E12" s="18">
        <v>8</v>
      </c>
      <c r="F12" s="18">
        <v>9</v>
      </c>
      <c r="G12" s="18">
        <v>10</v>
      </c>
      <c r="H12" s="18">
        <v>11</v>
      </c>
      <c r="I12" s="18">
        <v>12</v>
      </c>
      <c r="J12" s="18">
        <v>13</v>
      </c>
      <c r="K12" s="38"/>
      <c r="L12" s="33"/>
      <c r="M12" s="18">
        <v>16</v>
      </c>
      <c r="N12" s="18">
        <v>17</v>
      </c>
      <c r="O12" s="18">
        <v>18</v>
      </c>
      <c r="P12" s="18">
        <v>19</v>
      </c>
      <c r="Q12" s="18">
        <v>20</v>
      </c>
      <c r="R12" s="18">
        <v>21</v>
      </c>
      <c r="S12" s="18">
        <v>22</v>
      </c>
      <c r="T12" s="18">
        <v>23</v>
      </c>
      <c r="U12" s="18">
        <v>24</v>
      </c>
      <c r="V12" s="1"/>
      <c r="W12" s="1"/>
      <c r="X12" s="1"/>
      <c r="Y12" s="1"/>
      <c r="Z12" s="1"/>
      <c r="AA12" s="1"/>
    </row>
    <row r="13" spans="1:27" ht="24" customHeight="1">
      <c r="A13" s="39" t="s">
        <v>24</v>
      </c>
      <c r="B13" s="40"/>
      <c r="C13" s="40"/>
      <c r="D13" s="40"/>
      <c r="E13" s="40"/>
      <c r="F13" s="40"/>
      <c r="G13" s="40"/>
      <c r="H13" s="40"/>
      <c r="I13" s="40"/>
      <c r="J13" s="37"/>
      <c r="K13" s="39" t="s">
        <v>25</v>
      </c>
      <c r="L13" s="37"/>
      <c r="M13" s="60" t="s">
        <v>26</v>
      </c>
      <c r="N13" s="37"/>
      <c r="O13" s="67">
        <v>13195.09</v>
      </c>
      <c r="P13" s="40"/>
      <c r="Q13" s="40"/>
      <c r="R13" s="40"/>
      <c r="S13" s="40"/>
      <c r="T13" s="40"/>
      <c r="U13" s="37"/>
      <c r="V13" s="14"/>
      <c r="W13" s="14"/>
      <c r="X13" s="14"/>
      <c r="Y13" s="14"/>
      <c r="Z13" s="14"/>
      <c r="AA13" s="14"/>
    </row>
    <row r="14" spans="1:27" ht="24" customHeight="1">
      <c r="A14" s="41"/>
      <c r="B14" s="42"/>
      <c r="C14" s="42"/>
      <c r="D14" s="42"/>
      <c r="E14" s="42"/>
      <c r="F14" s="42"/>
      <c r="G14" s="42"/>
      <c r="H14" s="42"/>
      <c r="I14" s="42"/>
      <c r="J14" s="43"/>
      <c r="K14" s="38"/>
      <c r="L14" s="33"/>
      <c r="M14" s="38"/>
      <c r="N14" s="33"/>
      <c r="O14" s="38"/>
      <c r="P14" s="44"/>
      <c r="Q14" s="44"/>
      <c r="R14" s="44"/>
      <c r="S14" s="44"/>
      <c r="T14" s="44"/>
      <c r="U14" s="33"/>
      <c r="V14" s="14"/>
      <c r="W14" s="14"/>
      <c r="X14" s="14"/>
      <c r="Y14" s="14"/>
      <c r="Z14" s="14"/>
      <c r="AA14" s="14"/>
    </row>
    <row r="15" spans="1:27" ht="24" customHeight="1">
      <c r="A15" s="38"/>
      <c r="B15" s="44"/>
      <c r="C15" s="44"/>
      <c r="D15" s="44"/>
      <c r="E15" s="44"/>
      <c r="F15" s="44"/>
      <c r="G15" s="44"/>
      <c r="H15" s="44"/>
      <c r="I15" s="44"/>
      <c r="J15" s="33"/>
      <c r="K15" s="45" t="s">
        <v>27</v>
      </c>
      <c r="L15" s="49"/>
      <c r="M15" s="66" t="s">
        <v>26</v>
      </c>
      <c r="N15" s="49"/>
      <c r="O15" s="65">
        <v>9125.89</v>
      </c>
      <c r="P15" s="48"/>
      <c r="Q15" s="48"/>
      <c r="R15" s="48"/>
      <c r="S15" s="48"/>
      <c r="T15" s="48"/>
      <c r="U15" s="49"/>
      <c r="V15" s="14"/>
      <c r="W15" s="14"/>
      <c r="X15" s="14"/>
      <c r="Y15" s="14"/>
      <c r="Z15" s="14"/>
      <c r="AA15" s="14"/>
    </row>
    <row r="16" spans="1:27" ht="24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45"/>
      <c r="L16" s="46"/>
      <c r="M16" s="66"/>
      <c r="N16" s="68"/>
      <c r="O16" s="65"/>
      <c r="P16" s="48"/>
      <c r="Q16" s="48"/>
      <c r="R16" s="48"/>
      <c r="S16" s="48"/>
      <c r="T16" s="48"/>
      <c r="U16" s="49"/>
      <c r="V16" s="14"/>
      <c r="W16" s="14"/>
      <c r="X16" s="14"/>
      <c r="Y16" s="14"/>
      <c r="Z16" s="14"/>
      <c r="AA16" s="14"/>
    </row>
    <row r="17" spans="1:27" ht="24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45"/>
      <c r="L17" s="46"/>
      <c r="M17" s="69"/>
      <c r="N17" s="70"/>
      <c r="O17" s="50"/>
      <c r="P17" s="48"/>
      <c r="Q17" s="48"/>
      <c r="R17" s="48"/>
      <c r="S17" s="48"/>
      <c r="T17" s="48"/>
      <c r="U17" s="49"/>
      <c r="V17" s="14"/>
      <c r="W17" s="14"/>
      <c r="X17" s="14"/>
      <c r="Y17" s="14"/>
      <c r="Z17" s="14"/>
      <c r="AA17" s="14"/>
    </row>
    <row r="18" spans="1:27" ht="24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45"/>
      <c r="L18" s="46"/>
      <c r="M18" s="69"/>
      <c r="N18" s="70"/>
      <c r="O18" s="50"/>
      <c r="P18" s="48"/>
      <c r="Q18" s="48"/>
      <c r="R18" s="48"/>
      <c r="S18" s="48"/>
      <c r="T18" s="48"/>
      <c r="U18" s="49"/>
      <c r="V18" s="14"/>
      <c r="W18" s="14"/>
      <c r="X18" s="14"/>
      <c r="Y18" s="14"/>
      <c r="Z18" s="14"/>
      <c r="AA18" s="23"/>
    </row>
    <row r="19" spans="1:27" ht="12.75" customHeight="1">
      <c r="A19" s="47" t="s">
        <v>28</v>
      </c>
      <c r="B19" s="48"/>
      <c r="C19" s="48"/>
      <c r="D19" s="48"/>
      <c r="E19" s="48"/>
      <c r="F19" s="48"/>
      <c r="G19" s="48"/>
      <c r="H19" s="48"/>
      <c r="I19" s="48"/>
      <c r="J19" s="49"/>
      <c r="K19" s="24"/>
      <c r="L19" s="32" t="s">
        <v>29</v>
      </c>
      <c r="M19" s="39" t="s">
        <v>26</v>
      </c>
      <c r="N19" s="37"/>
      <c r="O19" s="51">
        <f>SUM(O13:U18)</f>
        <v>22320.98</v>
      </c>
      <c r="P19" s="40"/>
      <c r="Q19" s="40"/>
      <c r="R19" s="40"/>
      <c r="S19" s="40"/>
      <c r="T19" s="40"/>
      <c r="U19" s="37"/>
      <c r="V19" s="1"/>
      <c r="W19" s="14"/>
      <c r="X19" s="14"/>
      <c r="Y19" s="14"/>
      <c r="Z19" s="1"/>
      <c r="AA19" s="1"/>
    </row>
    <row r="20" spans="1:27" ht="12.75" customHeight="1">
      <c r="A20" s="47" t="s">
        <v>30</v>
      </c>
      <c r="B20" s="48"/>
      <c r="C20" s="48"/>
      <c r="D20" s="48"/>
      <c r="E20" s="48"/>
      <c r="F20" s="48"/>
      <c r="G20" s="48"/>
      <c r="H20" s="48"/>
      <c r="I20" s="48"/>
      <c r="J20" s="49"/>
      <c r="K20" s="25"/>
      <c r="L20" s="33"/>
      <c r="M20" s="38"/>
      <c r="N20" s="33"/>
      <c r="O20" s="38"/>
      <c r="P20" s="44"/>
      <c r="Q20" s="44"/>
      <c r="R20" s="44"/>
      <c r="S20" s="44"/>
      <c r="T20" s="44"/>
      <c r="U20" s="33"/>
      <c r="V20" s="1"/>
      <c r="W20" s="1"/>
      <c r="X20" s="1"/>
      <c r="Y20" s="1"/>
      <c r="Z20" s="1"/>
      <c r="AA20" s="26"/>
    </row>
    <row r="21" spans="1:27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6"/>
    </row>
    <row r="23" spans="1:27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27"/>
      <c r="L23" s="28" t="s">
        <v>31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28"/>
      <c r="L24" s="28" t="s">
        <v>32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9"/>
      <c r="W25" s="1"/>
      <c r="X25" s="1"/>
      <c r="Y25" s="1"/>
      <c r="Z25" s="1"/>
      <c r="AA25" s="1"/>
    </row>
    <row r="26" spans="1:27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1"/>
      <c r="O26" s="1"/>
      <c r="P26" s="2" t="s">
        <v>0</v>
      </c>
      <c r="Q26" s="3"/>
      <c r="R26" s="3"/>
      <c r="S26" s="3"/>
      <c r="T26" s="1"/>
      <c r="U26" s="1"/>
      <c r="V26" s="1"/>
      <c r="W26" s="1"/>
      <c r="X26" s="1"/>
      <c r="Y26" s="1"/>
      <c r="Z26" s="1"/>
      <c r="AA26" s="1"/>
    </row>
    <row r="27" spans="1: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>
      <c r="A28" s="30" t="s">
        <v>1</v>
      </c>
      <c r="B28" s="31"/>
      <c r="C28" s="31"/>
      <c r="D28" s="31"/>
      <c r="E28" s="31"/>
      <c r="F28" s="31"/>
      <c r="G28" s="31"/>
      <c r="H28" s="31"/>
      <c r="I28" s="31"/>
      <c r="J28" s="31"/>
      <c r="K28" s="1"/>
      <c r="L28" s="1"/>
      <c r="M28" s="1"/>
      <c r="N28" s="63" t="s">
        <v>33</v>
      </c>
      <c r="O28" s="48"/>
      <c r="P28" s="48"/>
      <c r="Q28" s="49"/>
      <c r="R28" s="7"/>
      <c r="S28" s="8" t="s">
        <v>3</v>
      </c>
      <c r="T28" s="9"/>
      <c r="U28" s="10"/>
      <c r="V28" s="1"/>
      <c r="W28" s="1"/>
      <c r="X28" s="1"/>
      <c r="Y28" s="1"/>
      <c r="Z28" s="1"/>
      <c r="AA28" s="1"/>
    </row>
    <row r="29" spans="1:27" ht="12.75" customHeight="1">
      <c r="A29" s="11" t="s">
        <v>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"/>
      <c r="M29" s="1"/>
      <c r="N29" s="60" t="s">
        <v>34</v>
      </c>
      <c r="O29" s="40"/>
      <c r="P29" s="40"/>
      <c r="Q29" s="37"/>
      <c r="R29" s="12"/>
      <c r="S29" s="1"/>
      <c r="T29" s="1"/>
      <c r="U29" s="13"/>
      <c r="V29" s="1"/>
      <c r="W29" s="1"/>
      <c r="X29" s="1"/>
      <c r="Y29" s="1"/>
      <c r="Z29" s="1"/>
      <c r="AA29" s="1"/>
    </row>
    <row r="30" spans="1:27" ht="12.75" customHeight="1">
      <c r="A30" s="14" t="s">
        <v>35</v>
      </c>
      <c r="B30" s="14" t="s">
        <v>36</v>
      </c>
      <c r="C30" s="1" t="s">
        <v>8</v>
      </c>
      <c r="D30" s="1"/>
      <c r="E30" s="14" t="s">
        <v>37</v>
      </c>
      <c r="F30" s="14" t="s">
        <v>38</v>
      </c>
      <c r="G30" s="1" t="s">
        <v>11</v>
      </c>
      <c r="H30" s="1"/>
      <c r="I30" s="14"/>
      <c r="J30" s="14"/>
      <c r="K30" s="1" t="s">
        <v>12</v>
      </c>
      <c r="L30" s="1"/>
      <c r="M30" s="1"/>
      <c r="N30" s="64"/>
      <c r="O30" s="42"/>
      <c r="P30" s="42"/>
      <c r="Q30" s="43"/>
      <c r="R30" s="12"/>
      <c r="S30" s="1"/>
      <c r="T30" s="1"/>
      <c r="U30" s="13"/>
      <c r="V30" s="1"/>
      <c r="W30" s="26"/>
      <c r="X30" s="26"/>
      <c r="Y30" s="1"/>
      <c r="Z30" s="1"/>
      <c r="AA30" s="1"/>
    </row>
    <row r="31" spans="1:27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5"/>
      <c r="O31" s="3"/>
      <c r="P31" s="3"/>
      <c r="Q31" s="3"/>
      <c r="R31" s="15"/>
      <c r="S31" s="3"/>
      <c r="T31" s="3"/>
      <c r="U31" s="16"/>
      <c r="V31" s="1"/>
      <c r="W31" s="29"/>
      <c r="X31" s="1"/>
      <c r="Y31" s="1"/>
      <c r="Z31" s="1"/>
      <c r="AA31" s="1"/>
    </row>
    <row r="32" spans="1:27" ht="12.75" customHeight="1">
      <c r="A32" s="1" t="str">
        <f>IF(ISNUMBER(SEARCH("Cash",N28)),"",IF(ISNUMBER(SEARCH("USD",M37)),"","Check No."))</f>
        <v>Check No.</v>
      </c>
      <c r="B32" s="1"/>
      <c r="C32" s="1"/>
      <c r="D32" s="1"/>
      <c r="E32" s="52"/>
      <c r="F32" s="44"/>
      <c r="G32" s="44"/>
      <c r="H32" s="44"/>
      <c r="I32" s="44"/>
      <c r="J32" s="4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6"/>
      <c r="Y32" s="1"/>
      <c r="Z32" s="1"/>
      <c r="AA32" s="1"/>
    </row>
    <row r="33" spans="1:27" ht="18" customHeight="1">
      <c r="A33" s="53" t="s">
        <v>14</v>
      </c>
      <c r="B33" s="40"/>
      <c r="C33" s="40"/>
      <c r="D33" s="37"/>
      <c r="E33" s="54" t="s">
        <v>39</v>
      </c>
      <c r="F33" s="40"/>
      <c r="G33" s="40"/>
      <c r="H33" s="40"/>
      <c r="I33" s="40"/>
      <c r="J33" s="37"/>
      <c r="K33" s="57" t="s">
        <v>16</v>
      </c>
      <c r="L33" s="34" t="s">
        <v>40</v>
      </c>
      <c r="M33" s="58" t="s">
        <v>18</v>
      </c>
      <c r="N33" s="40"/>
      <c r="O33" s="40"/>
      <c r="P33" s="40"/>
      <c r="Q33" s="40"/>
      <c r="R33" s="40"/>
      <c r="S33" s="40"/>
      <c r="T33" s="40"/>
      <c r="U33" s="37"/>
      <c r="V33" s="1"/>
      <c r="W33" s="1"/>
      <c r="X33" s="1"/>
      <c r="Y33" s="1"/>
      <c r="Z33" s="1"/>
      <c r="AA33" s="1"/>
    </row>
    <row r="34" spans="1:27" ht="18" customHeight="1">
      <c r="A34" s="55" t="s">
        <v>19</v>
      </c>
      <c r="B34" s="44"/>
      <c r="C34" s="44"/>
      <c r="D34" s="33"/>
      <c r="E34" s="56" t="s">
        <v>41</v>
      </c>
      <c r="F34" s="44"/>
      <c r="G34" s="44"/>
      <c r="H34" s="44"/>
      <c r="I34" s="44"/>
      <c r="J34" s="33"/>
      <c r="K34" s="35"/>
      <c r="L34" s="35"/>
      <c r="M34" s="38"/>
      <c r="N34" s="44"/>
      <c r="O34" s="44"/>
      <c r="P34" s="44"/>
      <c r="Q34" s="44"/>
      <c r="R34" s="44"/>
      <c r="S34" s="44"/>
      <c r="T34" s="44"/>
      <c r="U34" s="33"/>
      <c r="V34" s="1"/>
      <c r="W34" s="1"/>
      <c r="X34" s="1"/>
      <c r="Y34" s="1"/>
      <c r="Z34" s="1"/>
      <c r="AA34" s="1"/>
    </row>
    <row r="35" spans="1:27" ht="12.75" customHeight="1">
      <c r="A35" s="47" t="s">
        <v>21</v>
      </c>
      <c r="B35" s="48"/>
      <c r="C35" s="48"/>
      <c r="D35" s="48"/>
      <c r="E35" s="48"/>
      <c r="F35" s="48"/>
      <c r="G35" s="48"/>
      <c r="H35" s="48"/>
      <c r="I35" s="48"/>
      <c r="J35" s="49"/>
      <c r="K35" s="36" t="s">
        <v>22</v>
      </c>
      <c r="L35" s="37"/>
      <c r="M35" s="61" t="s">
        <v>23</v>
      </c>
      <c r="N35" s="48"/>
      <c r="O35" s="48"/>
      <c r="P35" s="48"/>
      <c r="Q35" s="48"/>
      <c r="R35" s="48"/>
      <c r="S35" s="48"/>
      <c r="T35" s="48"/>
      <c r="U35" s="49"/>
      <c r="V35" s="1"/>
      <c r="W35" s="1"/>
      <c r="X35" s="1"/>
      <c r="Y35" s="1"/>
      <c r="Z35" s="1"/>
      <c r="AA35" s="1"/>
    </row>
    <row r="36" spans="1:27" ht="12.75" customHeight="1">
      <c r="A36" s="18">
        <v>4</v>
      </c>
      <c r="B36" s="18">
        <v>5</v>
      </c>
      <c r="C36" s="18">
        <v>6</v>
      </c>
      <c r="D36" s="18">
        <v>7</v>
      </c>
      <c r="E36" s="18">
        <v>8</v>
      </c>
      <c r="F36" s="18">
        <v>9</v>
      </c>
      <c r="G36" s="18">
        <v>10</v>
      </c>
      <c r="H36" s="18">
        <v>11</v>
      </c>
      <c r="I36" s="18">
        <v>12</v>
      </c>
      <c r="J36" s="18">
        <v>13</v>
      </c>
      <c r="K36" s="38"/>
      <c r="L36" s="33"/>
      <c r="M36" s="18">
        <v>16</v>
      </c>
      <c r="N36" s="18">
        <v>17</v>
      </c>
      <c r="O36" s="18">
        <v>18</v>
      </c>
      <c r="P36" s="18">
        <v>19</v>
      </c>
      <c r="Q36" s="18">
        <v>20</v>
      </c>
      <c r="R36" s="18">
        <v>21</v>
      </c>
      <c r="S36" s="18">
        <v>22</v>
      </c>
      <c r="T36" s="18">
        <v>23</v>
      </c>
      <c r="U36" s="18">
        <v>24</v>
      </c>
      <c r="V36" s="1"/>
      <c r="W36" s="1"/>
      <c r="X36" s="1"/>
      <c r="Y36" s="1"/>
      <c r="Z36" s="1"/>
      <c r="AA36" s="1"/>
    </row>
    <row r="37" spans="1:27" ht="24" customHeight="1">
      <c r="A37" s="39" t="s">
        <v>24</v>
      </c>
      <c r="B37" s="40"/>
      <c r="C37" s="40"/>
      <c r="D37" s="40"/>
      <c r="E37" s="40"/>
      <c r="F37" s="40"/>
      <c r="G37" s="40"/>
      <c r="H37" s="40"/>
      <c r="I37" s="40"/>
      <c r="J37" s="37"/>
      <c r="K37" s="39" t="s">
        <v>42</v>
      </c>
      <c r="L37" s="37"/>
      <c r="M37" s="60" t="s">
        <v>26</v>
      </c>
      <c r="N37" s="37"/>
      <c r="O37" s="59">
        <f>O13*0.12</f>
        <v>1583.4108000000001</v>
      </c>
      <c r="P37" s="40"/>
      <c r="Q37" s="40"/>
      <c r="R37" s="40"/>
      <c r="S37" s="40"/>
      <c r="T37" s="40"/>
      <c r="U37" s="37"/>
      <c r="V37" s="14"/>
      <c r="W37" s="14"/>
      <c r="X37" s="14"/>
      <c r="Y37" s="19"/>
      <c r="Z37" s="14"/>
      <c r="AA37" s="14"/>
    </row>
    <row r="38" spans="1:27" ht="24" customHeight="1">
      <c r="A38" s="41"/>
      <c r="B38" s="42"/>
      <c r="C38" s="42"/>
      <c r="D38" s="42"/>
      <c r="E38" s="42"/>
      <c r="F38" s="42"/>
      <c r="G38" s="42"/>
      <c r="H38" s="42"/>
      <c r="I38" s="42"/>
      <c r="J38" s="43"/>
      <c r="K38" s="38"/>
      <c r="L38" s="33"/>
      <c r="M38" s="38"/>
      <c r="N38" s="33"/>
      <c r="O38" s="38"/>
      <c r="P38" s="44"/>
      <c r="Q38" s="44"/>
      <c r="R38" s="44"/>
      <c r="S38" s="44"/>
      <c r="T38" s="44"/>
      <c r="U38" s="33"/>
      <c r="V38" s="14"/>
      <c r="W38" s="14"/>
      <c r="X38" s="14"/>
      <c r="Y38" s="14"/>
      <c r="Z38" s="14"/>
      <c r="AA38" s="14"/>
    </row>
    <row r="39" spans="1:27" ht="24" customHeight="1">
      <c r="A39" s="38"/>
      <c r="B39" s="44"/>
      <c r="C39" s="44"/>
      <c r="D39" s="44"/>
      <c r="E39" s="44"/>
      <c r="F39" s="44"/>
      <c r="G39" s="44"/>
      <c r="H39" s="44"/>
      <c r="I39" s="44"/>
      <c r="J39" s="33"/>
      <c r="K39" s="45" t="s">
        <v>43</v>
      </c>
      <c r="L39" s="49"/>
      <c r="M39" s="21" t="s">
        <v>26</v>
      </c>
      <c r="N39" s="22"/>
      <c r="O39" s="62">
        <f>O15*0.12</f>
        <v>1095.1068</v>
      </c>
      <c r="P39" s="48"/>
      <c r="Q39" s="48"/>
      <c r="R39" s="48"/>
      <c r="S39" s="48"/>
      <c r="T39" s="48"/>
      <c r="U39" s="49"/>
      <c r="V39" s="14"/>
      <c r="W39" s="14"/>
      <c r="X39" s="14"/>
      <c r="Y39" s="14"/>
      <c r="Z39" s="14"/>
      <c r="AA39" s="14"/>
    </row>
    <row r="40" spans="1:27" ht="24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45"/>
      <c r="L40" s="46"/>
      <c r="M40" s="69"/>
      <c r="N40" s="70"/>
      <c r="O40" s="50"/>
      <c r="P40" s="48"/>
      <c r="Q40" s="48"/>
      <c r="R40" s="48"/>
      <c r="S40" s="48"/>
      <c r="T40" s="48"/>
      <c r="U40" s="49"/>
      <c r="V40" s="14"/>
      <c r="W40" s="14"/>
      <c r="X40" s="14"/>
      <c r="Y40" s="14"/>
      <c r="Z40" s="14"/>
      <c r="AA40" s="14"/>
    </row>
    <row r="41" spans="1:27" ht="24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45"/>
      <c r="L41" s="46"/>
      <c r="M41" s="69"/>
      <c r="N41" s="70"/>
      <c r="O41" s="50"/>
      <c r="P41" s="48"/>
      <c r="Q41" s="48"/>
      <c r="R41" s="48"/>
      <c r="S41" s="48"/>
      <c r="T41" s="48"/>
      <c r="U41" s="49"/>
      <c r="V41" s="14"/>
      <c r="W41" s="14"/>
      <c r="X41" s="14"/>
      <c r="Y41" s="14"/>
      <c r="Z41" s="14"/>
      <c r="AA41" s="14"/>
    </row>
    <row r="42" spans="1:27" ht="24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45"/>
      <c r="L42" s="46"/>
      <c r="M42" s="69"/>
      <c r="N42" s="70"/>
      <c r="O42" s="50"/>
      <c r="P42" s="48"/>
      <c r="Q42" s="48"/>
      <c r="R42" s="48"/>
      <c r="S42" s="48"/>
      <c r="T42" s="48"/>
      <c r="U42" s="49"/>
      <c r="V42" s="14"/>
      <c r="W42" s="14"/>
      <c r="X42" s="14"/>
      <c r="Y42" s="14"/>
      <c r="Z42" s="14"/>
      <c r="AA42" s="14"/>
    </row>
    <row r="43" spans="1:27" ht="12.75" customHeight="1">
      <c r="A43" s="47" t="s">
        <v>28</v>
      </c>
      <c r="B43" s="48"/>
      <c r="C43" s="48"/>
      <c r="D43" s="48"/>
      <c r="E43" s="48"/>
      <c r="F43" s="48"/>
      <c r="G43" s="48"/>
      <c r="H43" s="48"/>
      <c r="I43" s="48"/>
      <c r="J43" s="49"/>
      <c r="K43" s="24"/>
      <c r="L43" s="32" t="s">
        <v>29</v>
      </c>
      <c r="M43" s="39" t="str">
        <f>M37</f>
        <v>PHP</v>
      </c>
      <c r="N43" s="37"/>
      <c r="O43" s="51">
        <f>SUM(O37:U42)</f>
        <v>2678.5176000000001</v>
      </c>
      <c r="P43" s="40"/>
      <c r="Q43" s="40"/>
      <c r="R43" s="40"/>
      <c r="S43" s="40"/>
      <c r="T43" s="40"/>
      <c r="U43" s="37"/>
      <c r="V43" s="1"/>
      <c r="W43" s="1"/>
      <c r="X43" s="1"/>
      <c r="Y43" s="1"/>
      <c r="Z43" s="1"/>
      <c r="AA43" s="1"/>
    </row>
    <row r="44" spans="1:27" ht="12.75" customHeight="1">
      <c r="A44" s="47" t="s">
        <v>30</v>
      </c>
      <c r="B44" s="48"/>
      <c r="C44" s="48"/>
      <c r="D44" s="48"/>
      <c r="E44" s="48"/>
      <c r="F44" s="48"/>
      <c r="G44" s="48"/>
      <c r="H44" s="48"/>
      <c r="I44" s="48"/>
      <c r="J44" s="49"/>
      <c r="K44" s="25"/>
      <c r="L44" s="33"/>
      <c r="M44" s="38"/>
      <c r="N44" s="33"/>
      <c r="O44" s="38"/>
      <c r="P44" s="44"/>
      <c r="Q44" s="44"/>
      <c r="R44" s="44"/>
      <c r="S44" s="44"/>
      <c r="T44" s="44"/>
      <c r="U44" s="33"/>
      <c r="V44" s="1"/>
      <c r="W44" s="1"/>
      <c r="X44" s="1"/>
      <c r="Y44" s="1"/>
      <c r="Z44" s="1"/>
      <c r="AA44" s="1"/>
    </row>
    <row r="45" spans="1:27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9">
    <mergeCell ref="N4:Q4"/>
    <mergeCell ref="N5:Q5"/>
    <mergeCell ref="N6:Q6"/>
    <mergeCell ref="E8:J8"/>
    <mergeCell ref="A9:D9"/>
    <mergeCell ref="E9:J9"/>
    <mergeCell ref="A10:D10"/>
    <mergeCell ref="E10:J10"/>
    <mergeCell ref="A11:J11"/>
    <mergeCell ref="M11:U11"/>
    <mergeCell ref="K15:L15"/>
    <mergeCell ref="M15:N15"/>
    <mergeCell ref="O15:U15"/>
    <mergeCell ref="M9:U10"/>
    <mergeCell ref="O13:U14"/>
    <mergeCell ref="M13:N14"/>
    <mergeCell ref="K9:K10"/>
    <mergeCell ref="L9:L10"/>
    <mergeCell ref="O16:U16"/>
    <mergeCell ref="K17:L17"/>
    <mergeCell ref="O17:U17"/>
    <mergeCell ref="K18:L18"/>
    <mergeCell ref="O18:U18"/>
    <mergeCell ref="M16:N16"/>
    <mergeCell ref="M17:N17"/>
    <mergeCell ref="M18:N18"/>
    <mergeCell ref="N28:Q28"/>
    <mergeCell ref="N29:Q29"/>
    <mergeCell ref="N30:Q30"/>
    <mergeCell ref="M19:N20"/>
    <mergeCell ref="O19:U20"/>
    <mergeCell ref="O40:U40"/>
    <mergeCell ref="E32:J32"/>
    <mergeCell ref="A33:D33"/>
    <mergeCell ref="E33:J33"/>
    <mergeCell ref="A34:D34"/>
    <mergeCell ref="E34:J34"/>
    <mergeCell ref="K33:K34"/>
    <mergeCell ref="M33:U34"/>
    <mergeCell ref="O37:U38"/>
    <mergeCell ref="M37:N38"/>
    <mergeCell ref="M35:U35"/>
    <mergeCell ref="O39:U39"/>
    <mergeCell ref="M40:N40"/>
    <mergeCell ref="O41:U41"/>
    <mergeCell ref="K42:L42"/>
    <mergeCell ref="O42:U42"/>
    <mergeCell ref="A43:J43"/>
    <mergeCell ref="M43:N44"/>
    <mergeCell ref="O43:U44"/>
    <mergeCell ref="A44:J44"/>
    <mergeCell ref="M41:N41"/>
    <mergeCell ref="M42:N42"/>
    <mergeCell ref="L19:L20"/>
    <mergeCell ref="L33:L34"/>
    <mergeCell ref="L43:L44"/>
    <mergeCell ref="K11:L12"/>
    <mergeCell ref="A13:J15"/>
    <mergeCell ref="K13:L14"/>
    <mergeCell ref="K41:L41"/>
    <mergeCell ref="A35:J35"/>
    <mergeCell ref="K39:L39"/>
    <mergeCell ref="K40:L40"/>
    <mergeCell ref="A19:J19"/>
    <mergeCell ref="A20:J20"/>
    <mergeCell ref="K35:L36"/>
    <mergeCell ref="A37:J39"/>
    <mergeCell ref="K37:L38"/>
    <mergeCell ref="K16:L16"/>
  </mergeCells>
  <printOptions horizontalCentered="1"/>
  <pageMargins left="0.25" right="0.25" top="0.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Anne Z. Morte</dc:creator>
  <cp:lastModifiedBy>ADMIN</cp:lastModifiedBy>
  <dcterms:created xsi:type="dcterms:W3CDTF">2026-04-24T00:50:00Z</dcterms:created>
  <dcterms:modified xsi:type="dcterms:W3CDTF">2026-07-17T05:20:13Z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C88060F5665F4EAB8893F4A19E33712D_13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