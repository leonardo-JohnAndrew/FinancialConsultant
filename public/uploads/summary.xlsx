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620"/>
  </bookViews>
  <sheets>
    <sheet name="CashBook (US$bank)" sheetId="1" r:id="rId1"/>
    <sheet name="CashBook (US$cash) " sheetId="2" r:id="rId2"/>
    <sheet name="CashBook (PSbank)" sheetId="3" r:id="rId3"/>
    <sheet name="CashBook (PScash)" sheetId="4" r:id="rId4"/>
    <sheet name="Account Code" sheetId="5" r:id="rId5"/>
    <sheet name="summary" sheetId="6" r:id="rId6"/>
  </sheets>
  <externalReferences>
    <externalReference r:id="rId7"/>
    <externalReference r:id="rId8"/>
    <externalReference r:id="rId9"/>
    <externalReference r:id="rId10"/>
  </externalReferences>
  <definedNames>
    <definedName name="d">'[1]Transition Table'!$J$3:$J$162</definedName>
    <definedName name="DDList">'[4]Transition Table'!$J$3:$J$166</definedName>
    <definedName name="LocalCOA" localSheetId="0">#REF!</definedName>
    <definedName name="LocalCOA" localSheetId="1">#REF!</definedName>
    <definedName name="LocalCOA" localSheetId="2">#REF!</definedName>
    <definedName name="LocalCOA" localSheetId="3">#REF!</definedName>
    <definedName name="gllist">[2]GL!$B$1:$B$190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lcruz</author>
  </authors>
  <commentList>
    <comment ref="F1" authorId="0">
      <text>
        <r>
          <rPr>
            <b/>
            <sz val="9"/>
            <rFont val="Tahoma"/>
            <charset val="134"/>
          </rPr>
          <t>lcruz:</t>
        </r>
        <r>
          <rPr>
            <sz val="9"/>
            <rFont val="Tahoma"/>
            <charset val="134"/>
          </rPr>
          <t xml:space="preserve">
project name</t>
        </r>
      </text>
    </comment>
    <comment ref="F2" authorId="0">
      <text>
        <r>
          <rPr>
            <b/>
            <sz val="9"/>
            <rFont val="Tahoma"/>
            <charset val="134"/>
          </rPr>
          <t>lcruz:</t>
        </r>
        <r>
          <rPr>
            <sz val="9"/>
            <rFont val="Tahoma"/>
            <charset val="134"/>
          </rPr>
          <t xml:space="preserve">
project code</t>
        </r>
      </text>
    </comment>
  </commentList>
</comments>
</file>

<file path=xl/sharedStrings.xml><?xml version="1.0" encoding="utf-8"?>
<sst xmlns="http://schemas.openxmlformats.org/spreadsheetml/2006/main" count="410" uniqueCount="134">
  <si>
    <t>CASH BOOK</t>
  </si>
  <si>
    <t>This sheet is protected. You may disable the protection to alter the format such as width, height of the cell. Please note that you should consult with the administration office before adding an column, which may affect the MACRO used at Head Office.</t>
  </si>
  <si>
    <t>Project</t>
  </si>
  <si>
    <t>9665R7268</t>
  </si>
  <si>
    <t>ZPA-USD1</t>
  </si>
  <si>
    <r>
      <rPr>
        <sz val="10"/>
        <rFont val="MS UI Gothic"/>
        <charset val="128"/>
      </rPr>
      <t>・・・</t>
    </r>
    <r>
      <rPr>
        <sz val="10"/>
        <rFont val="Arial"/>
        <charset val="134"/>
      </rPr>
      <t>Data entry required</t>
    </r>
  </si>
  <si>
    <t>Currency</t>
  </si>
  <si>
    <t>US DOLLAR</t>
  </si>
  <si>
    <t>USD</t>
  </si>
  <si>
    <r>
      <rPr>
        <sz val="10"/>
        <rFont val="MS UI Gothic"/>
        <charset val="128"/>
      </rPr>
      <t>・・・</t>
    </r>
    <r>
      <rPr>
        <sz val="10"/>
        <rFont val="Arial"/>
        <charset val="134"/>
      </rPr>
      <t>Data entry NOT required</t>
    </r>
  </si>
  <si>
    <t>Cash/Bank</t>
  </si>
  <si>
    <t>Cash　・　Bank       (A/C No.　BDO# 105790173323　 )</t>
  </si>
  <si>
    <t>003N2</t>
  </si>
  <si>
    <r>
      <rPr>
        <sz val="10"/>
        <rFont val="MS UI Gothic"/>
        <charset val="128"/>
      </rPr>
      <t>・・・</t>
    </r>
    <r>
      <rPr>
        <sz val="10"/>
        <rFont val="Arial"/>
        <charset val="134"/>
      </rPr>
      <t>Optional column for data entry</t>
    </r>
  </si>
  <si>
    <t>伝票番号</t>
  </si>
  <si>
    <r>
      <rPr>
        <sz val="10"/>
        <rFont val="ＭＳ ゴシック"/>
        <charset val="128"/>
      </rPr>
      <t>日</t>
    </r>
    <r>
      <rPr>
        <sz val="10"/>
        <rFont val="Arial"/>
        <charset val="134"/>
      </rPr>
      <t xml:space="preserve"> </t>
    </r>
    <r>
      <rPr>
        <sz val="10"/>
        <rFont val="ＭＳ ゴシック"/>
        <charset val="128"/>
      </rPr>
      <t>付</t>
    </r>
  </si>
  <si>
    <r>
      <rPr>
        <sz val="10"/>
        <rFont val="ＭＳ ゴシック"/>
        <charset val="128"/>
      </rPr>
      <t>摘</t>
    </r>
    <r>
      <rPr>
        <sz val="10"/>
        <rFont val="Arial"/>
        <charset val="134"/>
      </rPr>
      <t xml:space="preserve">           </t>
    </r>
    <r>
      <rPr>
        <sz val="10"/>
        <rFont val="ＭＳ ゴシック"/>
        <charset val="128"/>
      </rPr>
      <t>要</t>
    </r>
  </si>
  <si>
    <t>科目コード</t>
  </si>
  <si>
    <t>JOB NO.</t>
  </si>
  <si>
    <r>
      <rPr>
        <sz val="10"/>
        <rFont val="ＭＳ ゴシック"/>
        <charset val="128"/>
      </rPr>
      <t xml:space="preserve">略記等
</t>
    </r>
    <r>
      <rPr>
        <sz val="10"/>
        <rFont val="Arial"/>
        <charset val="134"/>
      </rPr>
      <t>Reference No.</t>
    </r>
  </si>
  <si>
    <r>
      <rPr>
        <sz val="10"/>
        <rFont val="ＭＳ ゴシック"/>
        <charset val="128"/>
      </rPr>
      <t xml:space="preserve">相手先
</t>
    </r>
    <r>
      <rPr>
        <sz val="10"/>
        <rFont val="Arial"/>
        <charset val="134"/>
      </rPr>
      <t>Payee/Payer No.</t>
    </r>
  </si>
  <si>
    <t>相手先名称</t>
  </si>
  <si>
    <t>入金額</t>
  </si>
  <si>
    <t>支出額</t>
  </si>
  <si>
    <t>差引残高</t>
  </si>
  <si>
    <t>その他</t>
  </si>
  <si>
    <t>GL COUNT</t>
  </si>
  <si>
    <t>Slip No.</t>
  </si>
  <si>
    <t>Date</t>
  </si>
  <si>
    <t>Description</t>
  </si>
  <si>
    <t>A/C Code</t>
  </si>
  <si>
    <t>Payee/Payer</t>
  </si>
  <si>
    <t>Receipt</t>
  </si>
  <si>
    <t>Payment</t>
  </si>
  <si>
    <t>Balance</t>
  </si>
  <si>
    <t>Others</t>
  </si>
  <si>
    <t>YYYY/MM/DD</t>
  </si>
  <si>
    <r>
      <rPr>
        <sz val="10"/>
        <rFont val="Arial"/>
        <charset val="134"/>
      </rPr>
      <t>(</t>
    </r>
    <r>
      <rPr>
        <sz val="10"/>
        <rFont val="ＭＳ ゴシック"/>
        <charset val="128"/>
      </rPr>
      <t>自動入力）</t>
    </r>
  </si>
  <si>
    <t>（自動計算）</t>
  </si>
  <si>
    <r>
      <rPr>
        <sz val="10"/>
        <rFont val="ＭＳ ゴシック"/>
        <charset val="128"/>
      </rPr>
      <t>（</t>
    </r>
    <r>
      <rPr>
        <sz val="10"/>
        <rFont val="Arial"/>
        <charset val="134"/>
      </rPr>
      <t>Use of this column is optional</t>
    </r>
    <r>
      <rPr>
        <sz val="10"/>
        <rFont val="ＭＳ ゴシック"/>
        <charset val="128"/>
      </rPr>
      <t>）</t>
    </r>
  </si>
  <si>
    <r>
      <rPr>
        <sz val="10"/>
        <rFont val="MS UI Gothic"/>
        <charset val="128"/>
      </rPr>
      <t>前月繰越額　　</t>
    </r>
    <r>
      <rPr>
        <sz val="10"/>
        <rFont val="Arial"/>
        <charset val="134"/>
      </rPr>
      <t>(Balance Brougtht Forward from Previous Month )</t>
    </r>
  </si>
  <si>
    <r>
      <rPr>
        <sz val="10"/>
        <rFont val="MS UI Gothic"/>
        <charset val="128"/>
      </rPr>
      <t>次月繰越額　　</t>
    </r>
    <r>
      <rPr>
        <sz val="10"/>
        <rFont val="Arial"/>
        <charset val="134"/>
      </rPr>
      <t>(Balance Carried Forward to Next Month )</t>
    </r>
  </si>
  <si>
    <t>CRM</t>
  </si>
  <si>
    <t>Company</t>
  </si>
  <si>
    <t>Claimable/
Non -Claimable</t>
  </si>
  <si>
    <t>Code in Invoice to DOTR</t>
  </si>
  <si>
    <t>ZPC-USD1</t>
  </si>
  <si>
    <r>
      <rPr>
        <sz val="12"/>
        <rFont val="Arial"/>
        <charset val="134"/>
      </rPr>
      <t>Cash</t>
    </r>
    <r>
      <rPr>
        <sz val="12"/>
        <rFont val="MS UI Gothic"/>
        <charset val="128"/>
      </rPr>
      <t>　・　</t>
    </r>
    <r>
      <rPr>
        <sz val="12"/>
        <rFont val="Arial"/>
        <charset val="134"/>
      </rPr>
      <t>Bank (A/C No.                                )</t>
    </r>
  </si>
  <si>
    <t>001I2</t>
  </si>
  <si>
    <t>ZPA-LC1</t>
  </si>
  <si>
    <t>Philippines Peso</t>
  </si>
  <si>
    <t>PHP</t>
  </si>
  <si>
    <r>
      <rPr>
        <sz val="12"/>
        <rFont val="Arial"/>
        <charset val="134"/>
      </rPr>
      <t>Cash</t>
    </r>
    <r>
      <rPr>
        <sz val="12"/>
        <rFont val="MS UI Gothic"/>
        <charset val="128"/>
      </rPr>
      <t>　・　</t>
    </r>
    <r>
      <rPr>
        <sz val="12"/>
        <rFont val="Arial"/>
        <charset val="134"/>
      </rPr>
      <t>Bank (A/C No.      BDO# 005798014647     )</t>
    </r>
  </si>
  <si>
    <t>003N1</t>
  </si>
  <si>
    <r>
      <rPr>
        <sz val="10"/>
        <rFont val="ＭＳ ゴシック"/>
        <charset val="128"/>
      </rPr>
      <t xml:space="preserve">相手先
</t>
    </r>
    <r>
      <rPr>
        <sz val="10"/>
        <rFont val="ＭＳ ゴシック"/>
        <charset val="128"/>
      </rPr>
      <t>Payee/Payer No.</t>
    </r>
  </si>
  <si>
    <r>
      <rPr>
        <sz val="10"/>
        <rFont val="ＭＳ ゴシック"/>
        <charset val="128"/>
      </rPr>
      <t>（</t>
    </r>
    <r>
      <rPr>
        <sz val="10"/>
        <rFont val="Arial"/>
        <charset val="134"/>
      </rPr>
      <t>Use of this column is optional for local chart of Accounts</t>
    </r>
    <r>
      <rPr>
        <sz val="10"/>
        <rFont val="ＭＳ ゴシック"/>
        <charset val="128"/>
      </rPr>
      <t>）</t>
    </r>
  </si>
  <si>
    <t>Check No.</t>
  </si>
  <si>
    <t>SI#</t>
  </si>
  <si>
    <t>AR/OR#</t>
  </si>
  <si>
    <t>ZPC-LC1</t>
  </si>
  <si>
    <t>001I1</t>
  </si>
  <si>
    <r>
      <rPr>
        <sz val="10"/>
        <rFont val="MS UI Gothic"/>
        <charset val="128"/>
      </rPr>
      <t>前月繰越額　　</t>
    </r>
    <r>
      <rPr>
        <sz val="10"/>
        <rFont val="Arial"/>
        <charset val="134"/>
      </rPr>
      <t>(Balance Brought Forward from Previous Month )</t>
    </r>
  </si>
  <si>
    <t>Status</t>
  </si>
  <si>
    <t>Billed 
Month</t>
  </si>
  <si>
    <t>Invoice No.</t>
  </si>
  <si>
    <t>N/A</t>
  </si>
  <si>
    <t>このシートは出納帳の勘定科目名称入力のためのものですので、削除・改変しないでください。</t>
  </si>
  <si>
    <t xml:space="preserve">Please do not delete nor alter this sheet. This sheet is used for "lookup command". </t>
  </si>
  <si>
    <t>FUND TRANSFER BETWEEN BANK A/C AND CASH</t>
  </si>
  <si>
    <t>ADVANCE FOR OVERSEAS OFFICE</t>
  </si>
  <si>
    <t>EMPLOYEE ADVANCE</t>
  </si>
  <si>
    <t>ADVANCE PAID</t>
  </si>
  <si>
    <t>CONTRA TEMPORARY RECEIPT</t>
  </si>
  <si>
    <t>ADVANCES RECEIPT FROM CLIENT</t>
  </si>
  <si>
    <t>FEE FOR SUBCONSULTANT AGREEMENT</t>
  </si>
  <si>
    <t>MATERIALS ON CONTRACT</t>
  </si>
  <si>
    <t>OVERSEAS ALLOWANCE</t>
  </si>
  <si>
    <t>TRAVELING EXPENSE</t>
  </si>
  <si>
    <t>ALL OTHER SUBCONSULTANT FEE AND SUBCONTRACT COST</t>
  </si>
  <si>
    <t>FEE FOR SUBCONSULTANT WHICH IS OUT OF THE SCOPE OF NET REVENUE OF PCI</t>
  </si>
  <si>
    <t>OFFICE SALARY</t>
  </si>
  <si>
    <t>COPY &amp; PRINTING</t>
  </si>
  <si>
    <t>TRAVEL EXPENSE</t>
  </si>
  <si>
    <t>ENTERTAINMENT(tax-nondeductible)</t>
  </si>
  <si>
    <t>OFFICE SUPPLY</t>
  </si>
  <si>
    <t>OFFICE EQUIPMENT</t>
  </si>
  <si>
    <t>BOOKS &amp; SUBSCRIPTION</t>
  </si>
  <si>
    <t>TAX &amp; DUTY</t>
  </si>
  <si>
    <t>WATER,GAS &amp; ELECTRICITY</t>
  </si>
  <si>
    <t>REPAIR &amp; MAINTENANCE</t>
  </si>
  <si>
    <t>TRANSPORTATION</t>
  </si>
  <si>
    <t>TELEPHONE &amp; TELEX</t>
  </si>
  <si>
    <t>MEMBERSHIP FEE</t>
  </si>
  <si>
    <t>MEETING EXPENSE</t>
  </si>
  <si>
    <t>FEE &amp; CHARGE</t>
  </si>
  <si>
    <t>INSURANCE</t>
  </si>
  <si>
    <t>EQUIPMENT RENTAL CHARGE</t>
  </si>
  <si>
    <t>WELFARE EXPENSE</t>
  </si>
  <si>
    <t>ADVERTISING EXPENSE</t>
  </si>
  <si>
    <t>OFFICE &amp; HOUSE RENTAL</t>
  </si>
  <si>
    <t>GUARANTEE EXPENSE</t>
  </si>
  <si>
    <t>RESEARCH EXPENSE</t>
  </si>
  <si>
    <t>MISCELLANEOUS EXPENSE</t>
  </si>
  <si>
    <t>DONATION</t>
  </si>
  <si>
    <t>ENTERTAINMENT(tax-deductible)</t>
  </si>
  <si>
    <t>INTEREST EARNED</t>
  </si>
  <si>
    <t>MISCELLANEOUS INCOME</t>
  </si>
  <si>
    <t>INTEREST PAID</t>
  </si>
  <si>
    <t>CURRENCY EXCHANGE</t>
  </si>
  <si>
    <t xml:space="preserve"> </t>
  </si>
  <si>
    <t>案件名：</t>
  </si>
  <si>
    <t>NSCR</t>
  </si>
  <si>
    <r>
      <rPr>
        <sz val="10"/>
        <rFont val="Arial"/>
        <charset val="134"/>
      </rPr>
      <t>P.M.</t>
    </r>
    <r>
      <rPr>
        <sz val="10"/>
        <rFont val="ＭＳ Ｐゴシック"/>
        <charset val="128"/>
      </rPr>
      <t>サイン</t>
    </r>
  </si>
  <si>
    <t>ジョブ番号：</t>
  </si>
  <si>
    <t>MONTHLY RECEIPT AND EXPENDITURE SUMMARY</t>
  </si>
  <si>
    <t>Period :</t>
  </si>
  <si>
    <t>2026/03/10</t>
  </si>
  <si>
    <t>～</t>
  </si>
  <si>
    <t>US $</t>
  </si>
  <si>
    <t>PS</t>
  </si>
  <si>
    <t>Item</t>
  </si>
  <si>
    <t>Item code</t>
  </si>
  <si>
    <t>in</t>
  </si>
  <si>
    <t>out</t>
  </si>
  <si>
    <t>Balance from Previous Month</t>
  </si>
  <si>
    <t>Prepaid Expense - Redeem</t>
  </si>
  <si>
    <t>Y101P-7</t>
  </si>
  <si>
    <t>Total</t>
  </si>
  <si>
    <t>Breakdown</t>
  </si>
  <si>
    <t>Cash in Bank</t>
  </si>
  <si>
    <t>Cash on Hand</t>
  </si>
  <si>
    <t>Check not shown</t>
  </si>
  <si>
    <t>Check not shown (Outstanding Check)</t>
  </si>
  <si>
    <t>Balance for Next Month</t>
  </si>
</sst>
</file>

<file path=xl/styles.xml><?xml version="1.0" encoding="utf-8"?>
<styleSheet xmlns="http://schemas.openxmlformats.org/spreadsheetml/2006/main" xmlns:mc="http://schemas.openxmlformats.org/markup-compatibility/2006" xmlns:xr9="http://schemas.microsoft.com/office/spreadsheetml/2016/revision9" mc:Ignorable="xr9">
  <numFmts count="22">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000"/>
    <numFmt numFmtId="177" formatCode="yyyy/m/d&quot;　　　～&quot;"/>
    <numFmt numFmtId="178" formatCode="#,##0.00_ ;[Red]\-#,##0.00\ "/>
    <numFmt numFmtId="179" formatCode="#,##0.00;[Red]#,##0.00"/>
    <numFmt numFmtId="180" formatCode="#,##0.000_);[Red]\(#,##0.000\)"/>
    <numFmt numFmtId="181" formatCode="#,##0.0000_ ;[Red]\-#,##0.0000\ "/>
    <numFmt numFmtId="182" formatCode="[$-409]mmmm\ d\,\ yyyy;@"/>
    <numFmt numFmtId="183" formatCode="yyyy/mm"/>
    <numFmt numFmtId="184" formatCode="#,##0.###;[Red]\-#,##0.###;0"/>
    <numFmt numFmtId="185" formatCode="yyyy/mm/dd;@"/>
    <numFmt numFmtId="186" formatCode="[&lt;=999]000;[&lt;=9999]000\-00;000\-0000"/>
    <numFmt numFmtId="187" formatCode="#,##0.000000000000_ ;[Red]\-#,##0.000000000000\ "/>
    <numFmt numFmtId="188" formatCode="0_);[Red]\(0\)"/>
    <numFmt numFmtId="189" formatCode="#,##0.######;[Red]\-#,##0.######;0.000"/>
    <numFmt numFmtId="190" formatCode="#,##0.0000;[Red]\-#,##0.0000"/>
    <numFmt numFmtId="191" formatCode="#,##0.000000000_ ;[Red]\-#,##0.000000000\ "/>
    <numFmt numFmtId="192" formatCode="#,##0.00000000000_ ;[Red]\-#,##0.00000000000\ "/>
    <numFmt numFmtId="193" formatCode="mmm\-yy"/>
  </numFmts>
  <fonts count="44">
    <font>
      <sz val="11"/>
      <color theme="1"/>
      <name val="Calibri"/>
      <charset val="134"/>
      <scheme val="minor"/>
    </font>
    <font>
      <sz val="10"/>
      <name val="Arial"/>
      <charset val="134"/>
    </font>
    <font>
      <sz val="10"/>
      <name val="ＭＳ Ｐゴシック"/>
      <charset val="128"/>
    </font>
    <font>
      <b/>
      <sz val="14"/>
      <name val="Arial"/>
      <charset val="134"/>
    </font>
    <font>
      <b/>
      <sz val="10"/>
      <name val="Arial"/>
      <charset val="134"/>
    </font>
    <font>
      <b/>
      <u/>
      <sz val="10"/>
      <name val="Arial"/>
      <charset val="134"/>
    </font>
    <font>
      <sz val="10"/>
      <color indexed="10"/>
      <name val="Arial"/>
      <charset val="134"/>
    </font>
    <font>
      <sz val="11"/>
      <name val="ＭＳ Ｐゴシック"/>
      <charset val="128"/>
    </font>
    <font>
      <sz val="10"/>
      <color rgb="FFFF0000"/>
      <name val="Arial"/>
      <charset val="134"/>
    </font>
    <font>
      <sz val="12"/>
      <name val="Arial"/>
      <charset val="134"/>
    </font>
    <font>
      <b/>
      <sz val="12"/>
      <name val="Arial"/>
      <charset val="134"/>
    </font>
    <font>
      <sz val="10"/>
      <name val="MS UI Gothic"/>
      <charset val="128"/>
    </font>
    <font>
      <sz val="10"/>
      <name val="ＭＳ ゴシック"/>
      <charset val="128"/>
    </font>
    <font>
      <b/>
      <sz val="10"/>
      <color rgb="FFFF0000"/>
      <name val="Arial"/>
      <charset val="134"/>
    </font>
    <font>
      <sz val="10"/>
      <color theme="1"/>
      <name val="Arial"/>
      <charset val="134"/>
    </font>
    <font>
      <sz val="10"/>
      <color theme="0" tint="-0.349986266670736"/>
      <name val="Arial"/>
      <charset val="134"/>
    </font>
    <font>
      <sz val="11"/>
      <name val="Arial Narrow"/>
      <charset val="134"/>
    </font>
    <font>
      <sz val="10"/>
      <color rgb="FF00B050"/>
      <name val="Arial"/>
      <charset val="134"/>
    </font>
    <font>
      <sz val="12"/>
      <name val="Times New Roman"/>
      <charset val="134"/>
    </font>
    <font>
      <sz val="10"/>
      <color indexed="8"/>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2"/>
      <name val="MS UI Gothic"/>
      <charset val="128"/>
    </font>
    <font>
      <sz val="10"/>
      <name val="Times New Roman"/>
      <charset val="134"/>
    </font>
    <font>
      <sz val="9"/>
      <name val="ＭＳ Ｐゴシック"/>
      <charset val="128"/>
    </font>
    <font>
      <b/>
      <sz val="9"/>
      <name val="Tahoma"/>
      <charset val="134"/>
    </font>
    <font>
      <sz val="9"/>
      <name val="Tahoma"/>
      <charset val="134"/>
    </font>
  </fonts>
  <fills count="44">
    <fill>
      <patternFill patternType="none"/>
    </fill>
    <fill>
      <patternFill patternType="gray125"/>
    </fill>
    <fill>
      <patternFill patternType="solid">
        <fgColor rgb="FFFFFF99"/>
        <bgColor indexed="64"/>
      </patternFill>
    </fill>
    <fill>
      <patternFill patternType="solid">
        <fgColor rgb="FFCCFFCC"/>
        <bgColor indexed="64"/>
      </patternFill>
    </fill>
    <fill>
      <patternFill patternType="solid">
        <fgColor theme="0" tint="-0.249977111117893"/>
        <bgColor indexed="64"/>
      </patternFill>
    </fill>
    <fill>
      <patternFill patternType="solid">
        <fgColor indexed="13"/>
        <bgColor indexed="64"/>
      </patternFill>
    </fill>
    <fill>
      <patternFill patternType="solid">
        <fgColor rgb="FFFFFF00"/>
        <bgColor indexed="64"/>
      </patternFill>
    </fill>
    <fill>
      <patternFill patternType="solid">
        <fgColor rgb="FFFFCCFF"/>
        <bgColor indexed="64"/>
      </patternFill>
    </fill>
    <fill>
      <patternFill patternType="solid">
        <fgColor theme="0" tint="-0.499984740745262"/>
        <bgColor indexed="64"/>
      </patternFill>
    </fill>
    <fill>
      <patternFill patternType="solid">
        <fgColor indexed="43"/>
        <bgColor indexed="64"/>
      </patternFill>
    </fill>
    <fill>
      <patternFill patternType="solid">
        <fgColor indexed="22"/>
        <bgColor indexed="64"/>
      </patternFill>
    </fill>
    <fill>
      <patternFill patternType="solid">
        <fgColor indexed="55"/>
        <bgColor indexed="64"/>
      </patternFill>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1">
    <border>
      <left/>
      <right/>
      <top/>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right/>
      <top/>
      <bottom style="hair">
        <color auto="1"/>
      </bottom>
      <diagonal/>
    </border>
    <border>
      <left style="thin">
        <color auto="1"/>
      </left>
      <right/>
      <top style="thin">
        <color auto="1"/>
      </top>
      <bottom style="thin">
        <color auto="1"/>
      </bottom>
      <diagonal/>
    </border>
    <border>
      <left style="hair">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diagonalUp="1">
      <left style="hair">
        <color auto="1"/>
      </left>
      <right style="thin">
        <color auto="1"/>
      </right>
      <top style="thin">
        <color auto="1"/>
      </top>
      <bottom style="hair">
        <color auto="1"/>
      </bottom>
      <diagonal style="hair">
        <color auto="1"/>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diagonal/>
    </border>
    <border>
      <left/>
      <right style="thin">
        <color auto="1"/>
      </right>
      <top style="hair">
        <color auto="1"/>
      </top>
      <bottom/>
      <diagonal/>
    </border>
    <border>
      <left style="hair">
        <color auto="1"/>
      </left>
      <right style="thin">
        <color auto="1"/>
      </right>
      <top style="hair">
        <color auto="1"/>
      </top>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top style="thin">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medium">
        <color auto="1"/>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top/>
      <bottom style="thin">
        <color auto="1"/>
      </bottom>
      <diagonal/>
    </border>
    <border>
      <left style="thin">
        <color auto="1"/>
      </left>
      <right style="medium">
        <color auto="1"/>
      </right>
      <top/>
      <bottom/>
      <diagonal/>
    </border>
    <border>
      <left style="thin">
        <color auto="1"/>
      </left>
      <right/>
      <top style="thin">
        <color auto="1"/>
      </top>
      <bottom/>
      <diagonal/>
    </border>
    <border>
      <left style="medium">
        <color auto="1"/>
      </left>
      <right/>
      <top/>
      <bottom style="medium">
        <color auto="1"/>
      </bottom>
      <diagonal/>
    </border>
    <border>
      <left/>
      <right/>
      <top/>
      <bottom style="medium">
        <color auto="1"/>
      </bottom>
      <diagonal/>
    </border>
    <border>
      <left/>
      <right style="thin">
        <color auto="1"/>
      </right>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bottom style="medium">
        <color auto="1"/>
      </bottom>
      <diagonal/>
    </border>
    <border>
      <left style="medium">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hair">
        <color auto="1"/>
      </left>
      <right style="medium">
        <color auto="1"/>
      </right>
      <top/>
      <bottom style="hair">
        <color auto="1"/>
      </bottom>
      <diagonal/>
    </border>
    <border>
      <left style="hair">
        <color auto="1"/>
      </left>
      <right style="medium">
        <color auto="1"/>
      </right>
      <top style="hair">
        <color auto="1"/>
      </top>
      <bottom/>
      <diagonal/>
    </border>
    <border>
      <left/>
      <right style="thin">
        <color auto="1"/>
      </right>
      <top/>
      <bottom style="thin">
        <color auto="1"/>
      </bottom>
      <diagonal/>
    </border>
    <border>
      <left style="thin">
        <color auto="1"/>
      </left>
      <right style="thin">
        <color auto="1"/>
      </right>
      <top/>
      <bottom style="thin">
        <color auto="1"/>
      </bottom>
      <diagonal/>
    </border>
    <border>
      <left/>
      <right/>
      <top/>
      <bottom style="thin">
        <color auto="1"/>
      </bottom>
      <diagonal/>
    </border>
    <border>
      <left/>
      <right style="medium">
        <color auto="1"/>
      </right>
      <top style="medium">
        <color auto="1"/>
      </top>
      <bottom style="medium">
        <color auto="1"/>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top style="medium">
        <color auto="1"/>
      </top>
      <bottom style="hair">
        <color auto="1"/>
      </bottom>
      <diagonal/>
    </border>
    <border>
      <left style="medium">
        <color auto="1"/>
      </left>
      <right style="hair">
        <color auto="1"/>
      </right>
      <top/>
      <bottom style="hair">
        <color auto="1"/>
      </bottom>
      <diagonal/>
    </border>
    <border>
      <left style="hair">
        <color auto="1"/>
      </left>
      <right/>
      <top/>
      <bottom style="hair">
        <color auto="1"/>
      </bottom>
      <diagonal/>
    </border>
    <border>
      <left style="hair">
        <color auto="1"/>
      </left>
      <right/>
      <top style="hair">
        <color auto="1"/>
      </top>
      <bottom/>
      <diagonal/>
    </border>
    <border>
      <left style="hair">
        <color auto="1"/>
      </left>
      <right style="hair">
        <color auto="1"/>
      </right>
      <top style="hair">
        <color auto="1"/>
      </top>
      <bottom style="medium">
        <color auto="1"/>
      </bottom>
      <diagonal/>
    </border>
    <border>
      <left style="hair">
        <color auto="1"/>
      </left>
      <right style="hair">
        <color auto="1"/>
      </right>
      <top/>
      <bottom style="medium">
        <color auto="1"/>
      </bottom>
      <diagonal/>
    </border>
    <border>
      <left/>
      <right style="hair">
        <color auto="1"/>
      </right>
      <top style="medium">
        <color auto="1"/>
      </top>
      <bottom style="hair">
        <color auto="1"/>
      </bottom>
      <diagonal/>
    </border>
    <border>
      <left/>
      <right style="hair">
        <color auto="1"/>
      </right>
      <top/>
      <bottom style="hair">
        <color auto="1"/>
      </bottom>
      <diagonal/>
    </border>
    <border>
      <left style="medium">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0" fillId="13" borderId="93"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94" applyNumberFormat="0" applyFill="0" applyAlignment="0" applyProtection="0">
      <alignment vertical="center"/>
    </xf>
    <xf numFmtId="0" fontId="26" fillId="0" borderId="94" applyNumberFormat="0" applyFill="0" applyAlignment="0" applyProtection="0">
      <alignment vertical="center"/>
    </xf>
    <xf numFmtId="0" fontId="27" fillId="0" borderId="95" applyNumberFormat="0" applyFill="0" applyAlignment="0" applyProtection="0">
      <alignment vertical="center"/>
    </xf>
    <xf numFmtId="0" fontId="27" fillId="0" borderId="0" applyNumberFormat="0" applyFill="0" applyBorder="0" applyAlignment="0" applyProtection="0">
      <alignment vertical="center"/>
    </xf>
    <xf numFmtId="0" fontId="28" fillId="14" borderId="96" applyNumberFormat="0" applyAlignment="0" applyProtection="0">
      <alignment vertical="center"/>
    </xf>
    <xf numFmtId="0" fontId="29" fillId="15" borderId="97" applyNumberFormat="0" applyAlignment="0" applyProtection="0">
      <alignment vertical="center"/>
    </xf>
    <xf numFmtId="0" fontId="30" fillId="15" borderId="96" applyNumberFormat="0" applyAlignment="0" applyProtection="0">
      <alignment vertical="center"/>
    </xf>
    <xf numFmtId="0" fontId="31" fillId="16" borderId="98" applyNumberFormat="0" applyAlignment="0" applyProtection="0">
      <alignment vertical="center"/>
    </xf>
    <xf numFmtId="0" fontId="32" fillId="0" borderId="99" applyNumberFormat="0" applyFill="0" applyAlignment="0" applyProtection="0">
      <alignment vertical="center"/>
    </xf>
    <xf numFmtId="0" fontId="33" fillId="0" borderId="100" applyNumberFormat="0" applyFill="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6" fillId="19" borderId="0" applyNumberFormat="0" applyBorder="0" applyAlignment="0" applyProtection="0">
      <alignment vertical="center"/>
    </xf>
    <xf numFmtId="0" fontId="37" fillId="20" borderId="0" applyNumberFormat="0" applyBorder="0" applyAlignment="0" applyProtection="0">
      <alignment vertical="center"/>
    </xf>
    <xf numFmtId="0" fontId="38" fillId="21" borderId="0" applyNumberFormat="0" applyBorder="0" applyAlignment="0" applyProtection="0">
      <alignment vertical="center"/>
    </xf>
    <xf numFmtId="0" fontId="38" fillId="22" borderId="0" applyNumberFormat="0" applyBorder="0" applyAlignment="0" applyProtection="0">
      <alignment vertical="center"/>
    </xf>
    <xf numFmtId="0" fontId="37" fillId="23" borderId="0" applyNumberFormat="0" applyBorder="0" applyAlignment="0" applyProtection="0">
      <alignment vertical="center"/>
    </xf>
    <xf numFmtId="0" fontId="37" fillId="24" borderId="0" applyNumberFormat="0" applyBorder="0" applyAlignment="0" applyProtection="0">
      <alignment vertical="center"/>
    </xf>
    <xf numFmtId="0" fontId="38" fillId="25" borderId="0" applyNumberFormat="0" applyBorder="0" applyAlignment="0" applyProtection="0">
      <alignment vertical="center"/>
    </xf>
    <xf numFmtId="0" fontId="38" fillId="26" borderId="0" applyNumberFormat="0" applyBorder="0" applyAlignment="0" applyProtection="0">
      <alignment vertical="center"/>
    </xf>
    <xf numFmtId="0" fontId="37" fillId="27" borderId="0" applyNumberFormat="0" applyBorder="0" applyAlignment="0" applyProtection="0">
      <alignment vertical="center"/>
    </xf>
    <xf numFmtId="0" fontId="37" fillId="28" borderId="0" applyNumberFormat="0" applyBorder="0" applyAlignment="0" applyProtection="0">
      <alignment vertical="center"/>
    </xf>
    <xf numFmtId="0" fontId="38" fillId="29" borderId="0" applyNumberFormat="0" applyBorder="0" applyAlignment="0" applyProtection="0">
      <alignment vertical="center"/>
    </xf>
    <xf numFmtId="0" fontId="38" fillId="30" borderId="0" applyNumberFormat="0" applyBorder="0" applyAlignment="0" applyProtection="0">
      <alignment vertical="center"/>
    </xf>
    <xf numFmtId="0" fontId="37" fillId="31" borderId="0" applyNumberFormat="0" applyBorder="0" applyAlignment="0" applyProtection="0">
      <alignment vertical="center"/>
    </xf>
    <xf numFmtId="0" fontId="37" fillId="32" borderId="0" applyNumberFormat="0" applyBorder="0" applyAlignment="0" applyProtection="0">
      <alignment vertical="center"/>
    </xf>
    <xf numFmtId="0" fontId="38" fillId="33" borderId="0" applyNumberFormat="0" applyBorder="0" applyAlignment="0" applyProtection="0">
      <alignment vertical="center"/>
    </xf>
    <xf numFmtId="0" fontId="38" fillId="34"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8" fillId="37" borderId="0" applyNumberFormat="0" applyBorder="0" applyAlignment="0" applyProtection="0">
      <alignment vertical="center"/>
    </xf>
    <xf numFmtId="0" fontId="38" fillId="38" borderId="0" applyNumberFormat="0" applyBorder="0" applyAlignment="0" applyProtection="0">
      <alignment vertical="center"/>
    </xf>
    <xf numFmtId="0" fontId="37" fillId="39" borderId="0" applyNumberFormat="0" applyBorder="0" applyAlignment="0" applyProtection="0">
      <alignment vertical="center"/>
    </xf>
    <xf numFmtId="0" fontId="37" fillId="40" borderId="0" applyNumberFormat="0" applyBorder="0" applyAlignment="0" applyProtection="0">
      <alignment vertical="center"/>
    </xf>
    <xf numFmtId="0" fontId="38" fillId="41" borderId="0" applyNumberFormat="0" applyBorder="0" applyAlignment="0" applyProtection="0">
      <alignment vertical="center"/>
    </xf>
    <xf numFmtId="0" fontId="38" fillId="42" borderId="0" applyNumberFormat="0" applyBorder="0" applyAlignment="0" applyProtection="0">
      <alignment vertical="center"/>
    </xf>
    <xf numFmtId="0" fontId="37" fillId="43" borderId="0" applyNumberFormat="0" applyBorder="0" applyAlignment="0" applyProtection="0">
      <alignment vertical="center"/>
    </xf>
    <xf numFmtId="0" fontId="7" fillId="0" borderId="0"/>
    <xf numFmtId="0" fontId="7" fillId="0" borderId="0"/>
    <xf numFmtId="0" fontId="7" fillId="0" borderId="0"/>
    <xf numFmtId="0" fontId="1" fillId="0" borderId="0"/>
    <xf numFmtId="0" fontId="39" fillId="0" borderId="0"/>
    <xf numFmtId="0" fontId="7" fillId="0" borderId="0"/>
    <xf numFmtId="40" fontId="40" fillId="0" borderId="0" applyFont="0" applyFill="0" applyBorder="0" applyAlignment="0" applyProtection="0"/>
    <xf numFmtId="0" fontId="1" fillId="0" borderId="0"/>
    <xf numFmtId="38" fontId="40" fillId="0" borderId="0" applyFont="0" applyFill="0" applyBorder="0" applyAlignment="0" applyProtection="0"/>
    <xf numFmtId="38" fontId="40" fillId="0" borderId="0" applyFont="0" applyFill="0" applyBorder="0" applyAlignment="0" applyProtection="0"/>
    <xf numFmtId="0" fontId="41" fillId="0" borderId="0"/>
    <xf numFmtId="0" fontId="40" fillId="0" borderId="0"/>
  </cellStyleXfs>
  <cellXfs count="487">
    <xf numFmtId="0" fontId="0" fillId="0" borderId="0" xfId="0">
      <alignment vertical="center"/>
    </xf>
    <xf numFmtId="0" fontId="1" fillId="0" borderId="0" xfId="60" applyFont="1" applyAlignment="1">
      <alignment vertical="center"/>
    </xf>
    <xf numFmtId="0" fontId="1" fillId="0" borderId="0" xfId="59" applyFont="1"/>
    <xf numFmtId="0" fontId="1" fillId="0" borderId="0" xfId="59" applyFont="1" applyAlignment="1">
      <alignment horizontal="center" vertical="center"/>
    </xf>
    <xf numFmtId="176" fontId="1" fillId="0" borderId="0" xfId="59" applyNumberFormat="1" applyFont="1" applyAlignment="1">
      <alignment horizontal="center"/>
    </xf>
    <xf numFmtId="40" fontId="1" fillId="0" borderId="0" xfId="4" applyNumberFormat="1" applyFont="1" applyFill="1" applyAlignment="1"/>
    <xf numFmtId="40" fontId="1" fillId="0" borderId="0" xfId="1" applyNumberFormat="1" applyFont="1" applyFill="1" applyAlignment="1"/>
    <xf numFmtId="0" fontId="2" fillId="0" borderId="1" xfId="60" applyFont="1" applyBorder="1" applyAlignment="1">
      <alignment vertical="center"/>
    </xf>
    <xf numFmtId="0" fontId="1" fillId="0" borderId="2" xfId="60" applyFont="1" applyBorder="1" applyAlignment="1">
      <alignment vertical="center"/>
    </xf>
    <xf numFmtId="0" fontId="1" fillId="2" borderId="2" xfId="60" applyFont="1" applyFill="1" applyBorder="1" applyAlignment="1">
      <alignment horizontal="centerContinuous" vertical="center"/>
    </xf>
    <xf numFmtId="0" fontId="1" fillId="2" borderId="3" xfId="60" applyFont="1" applyFill="1" applyBorder="1" applyAlignment="1">
      <alignment horizontal="centerContinuous" vertical="center"/>
    </xf>
    <xf numFmtId="40" fontId="1" fillId="0" borderId="4" xfId="1" applyNumberFormat="1" applyFont="1" applyFill="1" applyBorder="1" applyAlignment="1">
      <alignment horizontal="center" vertical="center"/>
    </xf>
    <xf numFmtId="40" fontId="1" fillId="0" borderId="0" xfId="1" applyNumberFormat="1" applyFont="1" applyFill="1" applyAlignment="1">
      <alignment vertical="center"/>
    </xf>
    <xf numFmtId="40" fontId="1" fillId="3" borderId="5" xfId="1" applyNumberFormat="1" applyFont="1" applyFill="1" applyBorder="1" applyAlignment="1">
      <alignment vertical="center"/>
    </xf>
    <xf numFmtId="40" fontId="1" fillId="3" borderId="6" xfId="1" applyNumberFormat="1" applyFont="1" applyFill="1" applyBorder="1" applyAlignment="1">
      <alignment vertical="center"/>
    </xf>
    <xf numFmtId="0" fontId="3" fillId="0" borderId="0" xfId="60" applyFont="1" applyAlignment="1">
      <alignment horizontal="centerContinuous" vertical="center"/>
    </xf>
    <xf numFmtId="0" fontId="4" fillId="0" borderId="0" xfId="60" applyFont="1" applyAlignment="1">
      <alignment horizontal="centerContinuous" vertical="center"/>
    </xf>
    <xf numFmtId="40" fontId="1" fillId="0" borderId="0" xfId="1" applyNumberFormat="1" applyFont="1" applyFill="1" applyAlignment="1">
      <alignment horizontal="centerContinuous" vertical="center"/>
    </xf>
    <xf numFmtId="0" fontId="4" fillId="0" borderId="0" xfId="60" applyFont="1" applyAlignment="1">
      <alignment horizontal="center" vertical="center"/>
    </xf>
    <xf numFmtId="0" fontId="1" fillId="0" borderId="0" xfId="60" applyFont="1" applyAlignment="1">
      <alignment horizontal="center" vertical="center"/>
    </xf>
    <xf numFmtId="40" fontId="5" fillId="0" borderId="0" xfId="1" applyNumberFormat="1" applyFont="1" applyFill="1" applyBorder="1" applyAlignment="1">
      <alignment vertical="center"/>
    </xf>
    <xf numFmtId="0" fontId="1" fillId="0" borderId="7" xfId="60" applyFont="1" applyBorder="1" applyAlignment="1">
      <alignment horizontal="center"/>
    </xf>
    <xf numFmtId="58" fontId="1" fillId="2" borderId="7" xfId="60" applyNumberFormat="1" applyFont="1" applyFill="1" applyBorder="1" applyAlignment="1" applyProtection="1">
      <alignment horizontal="centerContinuous" vertical="center"/>
      <protection locked="0"/>
    </xf>
    <xf numFmtId="58" fontId="1" fillId="2" borderId="7" xfId="60" applyNumberFormat="1" applyFont="1" applyFill="1" applyBorder="1" applyAlignment="1">
      <alignment horizontal="centerContinuous" vertical="center"/>
    </xf>
    <xf numFmtId="177" fontId="2" fillId="0" borderId="7" xfId="60" applyNumberFormat="1" applyFont="1" applyBorder="1" applyAlignment="1">
      <alignment horizontal="center" vertical="center"/>
    </xf>
    <xf numFmtId="58" fontId="1" fillId="0" borderId="7" xfId="60" applyNumberFormat="1" applyFont="1" applyBorder="1" applyAlignment="1" applyProtection="1">
      <alignment vertical="center"/>
      <protection locked="0"/>
    </xf>
    <xf numFmtId="40" fontId="5" fillId="0" borderId="0" xfId="1" applyNumberFormat="1" applyFont="1" applyFill="1" applyAlignment="1">
      <alignment horizontal="center" vertical="center"/>
    </xf>
    <xf numFmtId="0" fontId="1" fillId="0" borderId="0" xfId="60" applyFont="1" applyAlignment="1">
      <alignment horizontal="left" indent="2"/>
    </xf>
    <xf numFmtId="58" fontId="1" fillId="0" borderId="0" xfId="60" applyNumberFormat="1" applyFont="1" applyAlignment="1">
      <alignment horizontal="center" vertical="center"/>
    </xf>
    <xf numFmtId="177" fontId="1" fillId="0" borderId="0" xfId="60" applyNumberFormat="1" applyFont="1" applyAlignment="1">
      <alignment horizontal="center" vertical="center"/>
    </xf>
    <xf numFmtId="0" fontId="1" fillId="0" borderId="8" xfId="59" applyFont="1" applyBorder="1" applyAlignment="1">
      <alignment horizontal="center"/>
    </xf>
    <xf numFmtId="176" fontId="1" fillId="0" borderId="9" xfId="59" applyNumberFormat="1" applyFont="1" applyBorder="1" applyAlignment="1" applyProtection="1">
      <alignment horizontal="centerContinuous"/>
      <protection locked="0"/>
    </xf>
    <xf numFmtId="176" fontId="1" fillId="0" borderId="10" xfId="59" applyNumberFormat="1" applyFont="1" applyBorder="1" applyAlignment="1">
      <alignment horizontal="centerContinuous"/>
    </xf>
    <xf numFmtId="176" fontId="1" fillId="0" borderId="11" xfId="59" applyNumberFormat="1" applyFont="1" applyBorder="1" applyAlignment="1">
      <alignment horizontal="centerContinuous"/>
    </xf>
    <xf numFmtId="40" fontId="1" fillId="0" borderId="10" xfId="1" applyNumberFormat="1" applyFont="1" applyFill="1" applyBorder="1" applyAlignment="1">
      <alignment horizontal="centerContinuous"/>
    </xf>
    <xf numFmtId="40" fontId="1" fillId="0" borderId="11" xfId="1" applyNumberFormat="1" applyFont="1" applyFill="1" applyBorder="1" applyAlignment="1">
      <alignment horizontal="centerContinuous"/>
    </xf>
    <xf numFmtId="0" fontId="1" fillId="0" borderId="12" xfId="59" applyFont="1" applyBorder="1" applyAlignment="1">
      <alignment horizontal="center" vertical="center"/>
    </xf>
    <xf numFmtId="176" fontId="1" fillId="0" borderId="13" xfId="59" applyNumberFormat="1" applyFont="1" applyBorder="1" applyAlignment="1">
      <alignment horizontal="center" vertical="center" wrapText="1"/>
    </xf>
    <xf numFmtId="40" fontId="1" fillId="0" borderId="13" xfId="4" applyNumberFormat="1" applyFont="1" applyFill="1" applyBorder="1" applyAlignment="1">
      <alignment horizontal="center" vertical="center"/>
    </xf>
    <xf numFmtId="0" fontId="1" fillId="0" borderId="14" xfId="59" applyFont="1" applyBorder="1" applyAlignment="1">
      <alignment horizontal="center" vertical="center"/>
    </xf>
    <xf numFmtId="40" fontId="1" fillId="0" borderId="13" xfId="1" applyNumberFormat="1" applyFont="1" applyFill="1" applyBorder="1" applyAlignment="1">
      <alignment horizontal="center" vertical="center"/>
    </xf>
    <xf numFmtId="40" fontId="1" fillId="0" borderId="14" xfId="1" applyNumberFormat="1" applyFont="1" applyFill="1" applyBorder="1" applyAlignment="1">
      <alignment horizontal="center" vertical="center"/>
    </xf>
    <xf numFmtId="0" fontId="1" fillId="0" borderId="15" xfId="59" applyFont="1" applyBorder="1"/>
    <xf numFmtId="176" fontId="1" fillId="0" borderId="16" xfId="59" applyNumberFormat="1" applyFont="1" applyBorder="1" applyAlignment="1">
      <alignment horizontal="center"/>
    </xf>
    <xf numFmtId="40" fontId="1" fillId="2" borderId="16" xfId="1" applyNumberFormat="1" applyFont="1" applyFill="1" applyBorder="1" applyAlignment="1"/>
    <xf numFmtId="40" fontId="1" fillId="0" borderId="17" xfId="1" applyNumberFormat="1" applyFont="1" applyFill="1" applyBorder="1" applyAlignment="1"/>
    <xf numFmtId="0" fontId="1" fillId="0" borderId="18" xfId="59" applyFont="1" applyBorder="1"/>
    <xf numFmtId="176" fontId="1" fillId="0" borderId="4" xfId="59" applyNumberFormat="1" applyFont="1" applyBorder="1" applyAlignment="1">
      <alignment horizontal="center"/>
    </xf>
    <xf numFmtId="40" fontId="1" fillId="2" borderId="19" xfId="1" applyNumberFormat="1" applyFont="1" applyFill="1" applyBorder="1" applyAlignment="1"/>
    <xf numFmtId="40" fontId="1" fillId="0" borderId="0" xfId="59" applyNumberFormat="1" applyFont="1"/>
    <xf numFmtId="0" fontId="1" fillId="0" borderId="18" xfId="50" applyFont="1" applyBorder="1" applyAlignment="1">
      <alignment wrapText="1"/>
    </xf>
    <xf numFmtId="0" fontId="1" fillId="0" borderId="20" xfId="59" applyFont="1" applyBorder="1"/>
    <xf numFmtId="176" fontId="1" fillId="0" borderId="5" xfId="59" applyNumberFormat="1" applyFont="1" applyBorder="1" applyAlignment="1">
      <alignment horizontal="center"/>
    </xf>
    <xf numFmtId="40" fontId="1" fillId="0" borderId="4" xfId="1" applyNumberFormat="1" applyFont="1" applyFill="1" applyBorder="1" applyAlignment="1"/>
    <xf numFmtId="40" fontId="1" fillId="0" borderId="21" xfId="1" applyNumberFormat="1" applyFont="1" applyFill="1" applyBorder="1" applyAlignment="1"/>
    <xf numFmtId="40" fontId="1" fillId="0" borderId="5" xfId="1" applyNumberFormat="1" applyFont="1" applyFill="1" applyBorder="1" applyAlignment="1"/>
    <xf numFmtId="40" fontId="1" fillId="0" borderId="22" xfId="1" applyNumberFormat="1" applyFont="1" applyFill="1" applyBorder="1" applyAlignment="1"/>
    <xf numFmtId="0" fontId="1" fillId="0" borderId="23" xfId="59" applyFont="1" applyBorder="1" applyAlignment="1">
      <alignment horizontal="center"/>
    </xf>
    <xf numFmtId="176" fontId="1" fillId="0" borderId="24" xfId="59" applyNumberFormat="1" applyFont="1" applyBorder="1" applyAlignment="1">
      <alignment horizontal="center"/>
    </xf>
    <xf numFmtId="40" fontId="1" fillId="2" borderId="24" xfId="1" applyNumberFormat="1" applyFont="1" applyFill="1" applyBorder="1" applyAlignment="1"/>
    <xf numFmtId="40" fontId="1" fillId="2" borderId="25" xfId="1" applyNumberFormat="1" applyFont="1" applyFill="1" applyBorder="1" applyAlignment="1"/>
    <xf numFmtId="178" fontId="1" fillId="0" borderId="0" xfId="59" applyNumberFormat="1" applyFont="1"/>
    <xf numFmtId="0" fontId="1" fillId="4" borderId="12" xfId="59" applyFont="1" applyFill="1" applyBorder="1" applyAlignment="1">
      <alignment horizontal="center"/>
    </xf>
    <xf numFmtId="176" fontId="1" fillId="4" borderId="10" xfId="59" applyNumberFormat="1" applyFont="1" applyFill="1" applyBorder="1" applyAlignment="1">
      <alignment horizontal="center"/>
    </xf>
    <xf numFmtId="40" fontId="1" fillId="4" borderId="10" xfId="1" applyNumberFormat="1" applyFont="1" applyFill="1" applyBorder="1" applyAlignment="1"/>
    <xf numFmtId="40" fontId="1" fillId="2" borderId="11" xfId="1" applyNumberFormat="1" applyFont="1" applyFill="1" applyBorder="1" applyAlignment="1"/>
    <xf numFmtId="0" fontId="1" fillId="0" borderId="26" xfId="59" applyFont="1" applyBorder="1" applyAlignment="1">
      <alignment horizontal="centerContinuous"/>
    </xf>
    <xf numFmtId="0" fontId="1" fillId="0" borderId="2" xfId="59" applyFont="1" applyBorder="1" applyAlignment="1">
      <alignment horizontal="centerContinuous"/>
    </xf>
    <xf numFmtId="40" fontId="1" fillId="0" borderId="2" xfId="1" applyNumberFormat="1" applyFont="1" applyFill="1" applyBorder="1" applyAlignment="1">
      <alignment horizontal="centerContinuous"/>
    </xf>
    <xf numFmtId="40" fontId="1" fillId="0" borderId="27" xfId="1" applyNumberFormat="1" applyFont="1" applyFill="1" applyBorder="1" applyAlignment="1">
      <alignment horizontal="centerContinuous"/>
    </xf>
    <xf numFmtId="0" fontId="1" fillId="0" borderId="26" xfId="59" applyFont="1" applyBorder="1" applyAlignment="1">
      <alignment horizontal="left" indent="2"/>
    </xf>
    <xf numFmtId="0" fontId="1" fillId="0" borderId="3" xfId="59" applyFont="1" applyBorder="1" applyAlignment="1">
      <alignment horizontal="left" indent="2"/>
    </xf>
    <xf numFmtId="40" fontId="1" fillId="0" borderId="1" xfId="1" applyNumberFormat="1" applyFont="1" applyFill="1" applyBorder="1" applyAlignment="1"/>
    <xf numFmtId="40" fontId="1" fillId="2" borderId="27" xfId="1" applyNumberFormat="1" applyFont="1" applyFill="1" applyBorder="1" applyAlignment="1"/>
    <xf numFmtId="40" fontId="1" fillId="3" borderId="21" xfId="1" applyNumberFormat="1" applyFont="1" applyFill="1" applyBorder="1" applyAlignment="1" applyProtection="1">
      <protection locked="0"/>
    </xf>
    <xf numFmtId="179" fontId="1" fillId="3" borderId="21" xfId="1" applyNumberFormat="1" applyFont="1" applyFill="1" applyBorder="1" applyAlignment="1" applyProtection="1">
      <protection locked="0"/>
    </xf>
    <xf numFmtId="0" fontId="1" fillId="0" borderId="28" xfId="59" applyFont="1" applyBorder="1" applyAlignment="1">
      <alignment horizontal="left" indent="2"/>
    </xf>
    <xf numFmtId="0" fontId="1" fillId="0" borderId="29" xfId="59" applyFont="1" applyBorder="1" applyAlignment="1">
      <alignment horizontal="left" indent="2"/>
    </xf>
    <xf numFmtId="40" fontId="1" fillId="0" borderId="8" xfId="1" applyNumberFormat="1" applyFont="1" applyFill="1" applyBorder="1" applyAlignment="1"/>
    <xf numFmtId="40" fontId="1" fillId="2" borderId="11" xfId="1" applyNumberFormat="1" applyFont="1" applyFill="1" applyBorder="1" applyAlignment="1"/>
    <xf numFmtId="0" fontId="6" fillId="0" borderId="30" xfId="59" applyFont="1" applyBorder="1"/>
    <xf numFmtId="0" fontId="1" fillId="0" borderId="30" xfId="59" applyFont="1" applyBorder="1" applyAlignment="1">
      <alignment horizontal="center"/>
    </xf>
    <xf numFmtId="180" fontId="1" fillId="0" borderId="30" xfId="1" applyNumberFormat="1" applyFont="1" applyFill="1" applyBorder="1" applyAlignment="1">
      <alignment horizontal="center"/>
    </xf>
    <xf numFmtId="38" fontId="1" fillId="0" borderId="0" xfId="59" applyNumberFormat="1" applyFont="1"/>
    <xf numFmtId="0" fontId="1" fillId="0" borderId="0" xfId="1" applyNumberFormat="1" applyFont="1" applyFill="1" applyAlignment="1"/>
    <xf numFmtId="0" fontId="1" fillId="0" borderId="31" xfId="59" applyFont="1" applyBorder="1"/>
    <xf numFmtId="0" fontId="1" fillId="0" borderId="32" xfId="59" applyFont="1" applyBorder="1"/>
    <xf numFmtId="0" fontId="7" fillId="0" borderId="0" xfId="49" applyAlignment="1">
      <alignment vertical="center"/>
    </xf>
    <xf numFmtId="0" fontId="7" fillId="0" borderId="0" xfId="49" applyAlignment="1" applyProtection="1">
      <alignment horizontal="center" vertical="center"/>
      <protection hidden="1"/>
    </xf>
    <xf numFmtId="0" fontId="7" fillId="0" borderId="0" xfId="49" applyAlignment="1" applyProtection="1">
      <alignment vertical="center"/>
      <protection hidden="1"/>
    </xf>
    <xf numFmtId="0" fontId="7" fillId="5" borderId="0" xfId="49" applyFill="1" applyAlignment="1" applyProtection="1">
      <alignment vertical="center"/>
      <protection hidden="1"/>
    </xf>
    <xf numFmtId="0" fontId="7" fillId="5" borderId="0" xfId="49" applyFill="1" applyAlignment="1">
      <alignment vertical="center"/>
    </xf>
    <xf numFmtId="0" fontId="7" fillId="6" borderId="0" xfId="49" applyFill="1" applyAlignment="1" applyProtection="1">
      <alignment vertical="center"/>
      <protection hidden="1"/>
    </xf>
    <xf numFmtId="0" fontId="7" fillId="6" borderId="0" xfId="49" applyFill="1" applyAlignment="1">
      <alignment vertical="center"/>
    </xf>
    <xf numFmtId="0" fontId="7" fillId="0" borderId="33" xfId="49" applyBorder="1" applyAlignment="1" applyProtection="1">
      <alignment horizontal="center" vertical="center"/>
      <protection hidden="1"/>
    </xf>
    <xf numFmtId="0" fontId="7" fillId="0" borderId="33" xfId="50" applyBorder="1" applyAlignment="1">
      <alignment vertical="center" wrapText="1"/>
    </xf>
    <xf numFmtId="0" fontId="7" fillId="7" borderId="33" xfId="49" applyFill="1" applyBorder="1" applyAlignment="1" applyProtection="1">
      <alignment horizontal="center" vertical="center"/>
      <protection hidden="1"/>
    </xf>
    <xf numFmtId="0" fontId="7" fillId="7" borderId="33" xfId="50" applyFill="1" applyBorder="1" applyAlignment="1">
      <alignment vertical="center" wrapText="1"/>
    </xf>
    <xf numFmtId="0" fontId="7" fillId="0" borderId="33" xfId="50" applyBorder="1" applyAlignment="1">
      <alignment vertical="center"/>
    </xf>
    <xf numFmtId="0" fontId="7" fillId="0" borderId="33" xfId="51" applyBorder="1" applyAlignment="1">
      <alignment horizontal="center" vertical="center"/>
    </xf>
    <xf numFmtId="0" fontId="7" fillId="0" borderId="0" xfId="50" applyAlignment="1">
      <alignment vertical="center" wrapText="1"/>
    </xf>
    <xf numFmtId="0" fontId="7" fillId="0" borderId="33" xfId="50" applyBorder="1" applyAlignment="1">
      <alignment horizontal="left" vertical="center" wrapText="1"/>
    </xf>
    <xf numFmtId="0" fontId="7" fillId="0" borderId="33" xfId="49" applyBorder="1" applyAlignment="1" applyProtection="1">
      <alignment vertical="center"/>
      <protection hidden="1"/>
    </xf>
    <xf numFmtId="0" fontId="1" fillId="0" borderId="0" xfId="53" applyFont="1" applyProtection="1">
      <protection locked="0"/>
    </xf>
    <xf numFmtId="0" fontId="1" fillId="0" borderId="0" xfId="53" applyFont="1" applyAlignment="1" applyProtection="1">
      <alignment vertical="center"/>
      <protection locked="0"/>
    </xf>
    <xf numFmtId="0" fontId="1" fillId="0" borderId="0" xfId="53" applyFont="1" applyAlignment="1" applyProtection="1">
      <alignment wrapText="1"/>
      <protection locked="0"/>
    </xf>
    <xf numFmtId="0" fontId="1" fillId="0" borderId="0" xfId="53" applyFont="1" applyAlignment="1" applyProtection="1">
      <alignment vertical="center" wrapText="1"/>
      <protection locked="0"/>
    </xf>
    <xf numFmtId="0" fontId="1" fillId="0" borderId="0" xfId="53" applyFont="1" applyAlignment="1" applyProtection="1">
      <alignment horizontal="center"/>
      <protection locked="0"/>
    </xf>
    <xf numFmtId="49" fontId="1" fillId="0" borderId="0" xfId="53" applyNumberFormat="1" applyFont="1" applyProtection="1">
      <protection locked="0"/>
    </xf>
    <xf numFmtId="176" fontId="1" fillId="0" borderId="0" xfId="53" applyNumberFormat="1" applyFont="1" applyProtection="1">
      <protection locked="0"/>
    </xf>
    <xf numFmtId="40" fontId="1" fillId="0" borderId="0" xfId="1" applyNumberFormat="1" applyFont="1" applyFill="1" applyAlignment="1" applyProtection="1">
      <protection locked="0"/>
    </xf>
    <xf numFmtId="40" fontId="1" fillId="0" borderId="0" xfId="1" applyNumberFormat="1" applyFont="1" applyFill="1" applyAlignment="1" applyProtection="1">
      <alignment horizontal="right" vertical="center"/>
      <protection locked="0"/>
    </xf>
    <xf numFmtId="40" fontId="1" fillId="0" borderId="0" xfId="53" applyNumberFormat="1" applyFont="1" applyProtection="1">
      <protection locked="0"/>
    </xf>
    <xf numFmtId="49" fontId="1" fillId="0" borderId="0" xfId="53" applyNumberFormat="1" applyFont="1" applyAlignment="1" applyProtection="1">
      <alignment horizontal="center" vertical="center"/>
      <protection locked="0"/>
    </xf>
    <xf numFmtId="0" fontId="1" fillId="0" borderId="0" xfId="53" applyFont="1" applyAlignment="1" applyProtection="1">
      <alignment horizontal="left"/>
      <protection locked="0"/>
    </xf>
    <xf numFmtId="0" fontId="3" fillId="0" borderId="0" xfId="53" applyFont="1" applyAlignment="1" applyProtection="1">
      <alignment vertical="center"/>
    </xf>
    <xf numFmtId="0" fontId="3" fillId="0" borderId="0" xfId="51" applyFont="1" applyAlignment="1" applyProtection="1">
      <alignment vertical="center"/>
    </xf>
    <xf numFmtId="49" fontId="8" fillId="0" borderId="0" xfId="53" applyNumberFormat="1" applyFont="1" applyAlignment="1" applyProtection="1">
      <alignment wrapText="1"/>
    </xf>
    <xf numFmtId="49" fontId="8" fillId="0" borderId="0" xfId="53" applyNumberFormat="1" applyFont="1" applyProtection="1"/>
    <xf numFmtId="49" fontId="1" fillId="0" borderId="0" xfId="53" applyNumberFormat="1" applyFont="1" applyProtection="1"/>
    <xf numFmtId="49" fontId="1" fillId="0" borderId="0" xfId="53" applyNumberFormat="1" applyFont="1" applyAlignment="1" applyProtection="1">
      <alignment wrapText="1"/>
    </xf>
    <xf numFmtId="40" fontId="1" fillId="0" borderId="0" xfId="1" applyNumberFormat="1" applyFont="1" applyFill="1" applyBorder="1" applyAlignment="1" applyProtection="1"/>
    <xf numFmtId="40" fontId="1" fillId="0" borderId="0" xfId="1" applyNumberFormat="1" applyFont="1" applyFill="1" applyBorder="1" applyAlignment="1" applyProtection="1">
      <alignment horizontal="right"/>
    </xf>
    <xf numFmtId="40" fontId="1" fillId="0" borderId="0" xfId="53" applyNumberFormat="1" applyFont="1" applyProtection="1"/>
    <xf numFmtId="0" fontId="1" fillId="0" borderId="0" xfId="53" applyFont="1" applyProtection="1"/>
    <xf numFmtId="40" fontId="1" fillId="0" borderId="0" xfId="1" applyNumberFormat="1" applyFont="1" applyAlignment="1" applyProtection="1">
      <alignment horizontal="center" vertical="center"/>
    </xf>
    <xf numFmtId="40" fontId="1" fillId="0" borderId="0" xfId="1" applyNumberFormat="1" applyFont="1" applyBorder="1" applyAlignment="1" applyProtection="1">
      <alignment horizontal="center"/>
    </xf>
    <xf numFmtId="181" fontId="1" fillId="0" borderId="0" xfId="53" applyNumberFormat="1" applyFont="1" applyProtection="1"/>
    <xf numFmtId="0" fontId="1" fillId="0" borderId="0" xfId="53" applyFont="1" applyAlignment="1" applyProtection="1">
      <alignment horizontal="center"/>
    </xf>
    <xf numFmtId="0" fontId="1" fillId="0" borderId="0" xfId="53" applyFont="1" applyAlignment="1" applyProtection="1">
      <alignment horizontal="left"/>
    </xf>
    <xf numFmtId="0" fontId="9" fillId="3" borderId="34" xfId="53" applyFont="1" applyFill="1" applyBorder="1" applyProtection="1"/>
    <xf numFmtId="0" fontId="9" fillId="3" borderId="35" xfId="51" applyFont="1" applyFill="1" applyBorder="1" applyProtection="1"/>
    <xf numFmtId="0" fontId="10" fillId="2" borderId="35" xfId="53" applyFont="1" applyFill="1" applyBorder="1" applyAlignment="1" applyProtection="1">
      <alignment vertical="center"/>
    </xf>
    <xf numFmtId="182" fontId="9" fillId="2" borderId="36" xfId="53" applyNumberFormat="1" applyFont="1" applyFill="1" applyBorder="1" applyAlignment="1" applyProtection="1">
      <alignment horizontal="center" vertical="center"/>
    </xf>
    <xf numFmtId="182" fontId="9" fillId="2" borderId="37" xfId="53" applyNumberFormat="1" applyFont="1" applyFill="1" applyBorder="1" applyAlignment="1" applyProtection="1">
      <alignment horizontal="center" vertical="center"/>
    </xf>
    <xf numFmtId="183" fontId="9" fillId="2" borderId="38" xfId="53" applyNumberFormat="1" applyFont="1" applyFill="1" applyBorder="1" applyAlignment="1" applyProtection="1">
      <alignment horizontal="center" vertical="center"/>
    </xf>
    <xf numFmtId="40" fontId="1" fillId="3" borderId="39" xfId="1" applyNumberFormat="1" applyFont="1" applyFill="1" applyBorder="1" applyAlignment="1" applyProtection="1">
      <alignment horizontal="right"/>
    </xf>
    <xf numFmtId="184" fontId="11" fillId="0" borderId="0" xfId="53" applyNumberFormat="1" applyFont="1" applyProtection="1"/>
    <xf numFmtId="49" fontId="1" fillId="0" borderId="0" xfId="53" applyNumberFormat="1" applyFont="1" applyAlignment="1" applyProtection="1">
      <alignment horizontal="center" vertical="center"/>
    </xf>
    <xf numFmtId="0" fontId="1" fillId="0" borderId="0" xfId="53" applyFont="1" applyAlignment="1" applyProtection="1">
      <alignment horizontal="center" vertical="center"/>
    </xf>
    <xf numFmtId="0" fontId="9" fillId="3" borderId="40" xfId="53" applyFont="1" applyFill="1" applyBorder="1" applyAlignment="1" applyProtection="1">
      <alignment vertical="center"/>
    </xf>
    <xf numFmtId="0" fontId="9" fillId="3" borderId="33" xfId="51" applyFont="1" applyFill="1" applyBorder="1" applyAlignment="1" applyProtection="1">
      <alignment vertical="center"/>
    </xf>
    <xf numFmtId="49" fontId="9" fillId="0" borderId="8" xfId="53" applyNumberFormat="1" applyFont="1" applyBorder="1" applyAlignment="1" applyProtection="1">
      <alignment vertical="center"/>
    </xf>
    <xf numFmtId="49" fontId="9" fillId="0" borderId="10" xfId="53" applyNumberFormat="1" applyFont="1" applyBorder="1" applyAlignment="1" applyProtection="1">
      <alignment vertical="center"/>
    </xf>
    <xf numFmtId="49" fontId="9" fillId="0" borderId="11" xfId="53" applyNumberFormat="1" applyFont="1" applyBorder="1" applyAlignment="1" applyProtection="1">
      <alignment vertical="center"/>
    </xf>
    <xf numFmtId="49" fontId="9" fillId="2" borderId="41" xfId="53" applyNumberFormat="1" applyFont="1" applyFill="1" applyBorder="1" applyAlignment="1" applyProtection="1">
      <alignment horizontal="center" vertical="center"/>
    </xf>
    <xf numFmtId="49" fontId="1" fillId="0" borderId="0" xfId="53" applyNumberFormat="1" applyFont="1" applyAlignment="1" applyProtection="1">
      <alignment vertical="center"/>
    </xf>
    <xf numFmtId="40" fontId="1" fillId="0" borderId="0" xfId="1" applyNumberFormat="1" applyFont="1" applyFill="1" applyBorder="1" applyAlignment="1" applyProtection="1">
      <alignment vertical="center"/>
    </xf>
    <xf numFmtId="40" fontId="1" fillId="2" borderId="42" xfId="1" applyNumberFormat="1" applyFont="1" applyFill="1" applyBorder="1" applyAlignment="1" applyProtection="1">
      <alignment horizontal="right" vertical="center"/>
    </xf>
    <xf numFmtId="184" fontId="11" fillId="0" borderId="0" xfId="53" applyNumberFormat="1" applyFont="1" applyAlignment="1" applyProtection="1">
      <alignment vertical="center"/>
    </xf>
    <xf numFmtId="0" fontId="1" fillId="0" borderId="0" xfId="53" applyFont="1" applyAlignment="1" applyProtection="1">
      <alignment vertical="center"/>
    </xf>
    <xf numFmtId="0" fontId="1" fillId="0" borderId="0" xfId="53" applyFont="1" applyAlignment="1" applyProtection="1">
      <alignment horizontal="left" vertical="center"/>
    </xf>
    <xf numFmtId="0" fontId="9" fillId="3" borderId="43" xfId="53" applyFont="1" applyFill="1" applyBorder="1" applyAlignment="1" applyProtection="1">
      <alignment vertical="center"/>
    </xf>
    <xf numFmtId="0" fontId="9" fillId="3" borderId="44" xfId="51" applyFont="1" applyFill="1" applyBorder="1" applyAlignment="1" applyProtection="1">
      <alignment vertical="center"/>
    </xf>
    <xf numFmtId="49" fontId="9" fillId="0" borderId="45" xfId="53" applyNumberFormat="1" applyFont="1" applyBorder="1" applyAlignment="1" applyProtection="1">
      <alignment horizontal="left" vertical="center"/>
    </xf>
    <xf numFmtId="49" fontId="9" fillId="0" borderId="46" xfId="53" applyNumberFormat="1" applyFont="1" applyBorder="1" applyAlignment="1" applyProtection="1">
      <alignment horizontal="left" vertical="center"/>
    </xf>
    <xf numFmtId="49" fontId="9" fillId="0" borderId="47" xfId="53" applyNumberFormat="1" applyFont="1" applyBorder="1" applyAlignment="1" applyProtection="1">
      <alignment horizontal="left" vertical="center"/>
    </xf>
    <xf numFmtId="49" fontId="9" fillId="0" borderId="48" xfId="53" applyNumberFormat="1" applyFont="1" applyBorder="1" applyAlignment="1" applyProtection="1">
      <alignment horizontal="center" vertical="center"/>
    </xf>
    <xf numFmtId="40" fontId="1" fillId="8" borderId="49" xfId="1" applyNumberFormat="1" applyFont="1" applyFill="1" applyBorder="1" applyAlignment="1" applyProtection="1">
      <alignment horizontal="right" vertical="center"/>
    </xf>
    <xf numFmtId="0" fontId="1" fillId="0" borderId="0" xfId="51" applyFont="1" applyProtection="1"/>
    <xf numFmtId="176" fontId="1" fillId="0" borderId="0" xfId="53" applyNumberFormat="1" applyFont="1" applyProtection="1"/>
    <xf numFmtId="0" fontId="12" fillId="3" borderId="50" xfId="54" applyFont="1" applyFill="1" applyBorder="1" applyAlignment="1" applyProtection="1">
      <alignment horizontal="center"/>
    </xf>
    <xf numFmtId="0" fontId="12" fillId="3" borderId="51" xfId="54" applyFont="1" applyFill="1" applyBorder="1" applyAlignment="1" applyProtection="1">
      <alignment horizontal="center"/>
    </xf>
    <xf numFmtId="49" fontId="12" fillId="3" borderId="51" xfId="54" applyNumberFormat="1" applyFont="1" applyFill="1" applyBorder="1" applyAlignment="1" applyProtection="1">
      <alignment horizontal="center"/>
    </xf>
    <xf numFmtId="49" fontId="12" fillId="3" borderId="52" xfId="54" applyNumberFormat="1" applyFont="1" applyFill="1" applyBorder="1" applyAlignment="1" applyProtection="1">
      <alignment horizontal="center"/>
    </xf>
    <xf numFmtId="49" fontId="1" fillId="3" borderId="53" xfId="54" applyNumberFormat="1" applyFont="1" applyFill="1" applyBorder="1" applyAlignment="1" applyProtection="1">
      <alignment horizontal="center"/>
    </xf>
    <xf numFmtId="49" fontId="1" fillId="3" borderId="51" xfId="54" applyNumberFormat="1" applyFont="1" applyFill="1" applyBorder="1" applyAlignment="1" applyProtection="1">
      <alignment horizontal="center"/>
    </xf>
    <xf numFmtId="49" fontId="12" fillId="3" borderId="51" xfId="54" applyNumberFormat="1" applyFont="1" applyFill="1" applyBorder="1" applyAlignment="1" applyProtection="1">
      <alignment horizontal="center" wrapText="1"/>
    </xf>
    <xf numFmtId="40" fontId="12" fillId="3" borderId="51" xfId="1" applyNumberFormat="1" applyFont="1" applyFill="1" applyBorder="1" applyAlignment="1" applyProtection="1">
      <alignment horizontal="center"/>
    </xf>
    <xf numFmtId="40" fontId="12" fillId="2" borderId="52" xfId="53" applyNumberFormat="1" applyFont="1" applyFill="1" applyBorder="1" applyAlignment="1" applyProtection="1">
      <alignment horizontal="center"/>
    </xf>
    <xf numFmtId="0" fontId="12" fillId="4" borderId="52" xfId="54" applyFont="1" applyFill="1" applyBorder="1" applyAlignment="1" applyProtection="1">
      <alignment horizontal="center"/>
    </xf>
    <xf numFmtId="0" fontId="1" fillId="8" borderId="54" xfId="53" applyFont="1" applyFill="1" applyBorder="1" applyAlignment="1" applyProtection="1">
      <alignment horizontal="center" vertical="center"/>
    </xf>
    <xf numFmtId="0" fontId="1" fillId="3" borderId="55" xfId="54" applyFont="1" applyFill="1" applyBorder="1" applyAlignment="1" applyProtection="1">
      <alignment horizontal="center"/>
    </xf>
    <xf numFmtId="0" fontId="1" fillId="3" borderId="56" xfId="54" applyFont="1" applyFill="1" applyBorder="1" applyAlignment="1" applyProtection="1">
      <alignment horizontal="center"/>
    </xf>
    <xf numFmtId="49" fontId="1" fillId="3" borderId="57" xfId="54" applyNumberFormat="1" applyFont="1" applyFill="1" applyBorder="1" applyAlignment="1" applyProtection="1">
      <alignment horizontal="center"/>
    </xf>
    <xf numFmtId="49" fontId="1" fillId="3" borderId="58" xfId="54" applyNumberFormat="1" applyFont="1" applyFill="1" applyBorder="1" applyAlignment="1" applyProtection="1">
      <alignment horizontal="center"/>
    </xf>
    <xf numFmtId="49" fontId="1" fillId="3" borderId="56" xfId="54" applyNumberFormat="1" applyFont="1" applyFill="1" applyBorder="1" applyAlignment="1" applyProtection="1">
      <alignment horizontal="center"/>
    </xf>
    <xf numFmtId="0" fontId="1" fillId="3" borderId="57" xfId="51" applyFont="1" applyFill="1" applyBorder="1" applyAlignment="1" applyProtection="1">
      <alignment horizontal="center"/>
    </xf>
    <xf numFmtId="40" fontId="1" fillId="3" borderId="57" xfId="1" applyNumberFormat="1" applyFont="1" applyFill="1" applyBorder="1" applyAlignment="1" applyProtection="1">
      <alignment horizontal="center"/>
    </xf>
    <xf numFmtId="40" fontId="1" fillId="2" borderId="58" xfId="53" applyNumberFormat="1" applyFont="1" applyFill="1" applyBorder="1" applyAlignment="1" applyProtection="1">
      <alignment horizontal="center"/>
    </xf>
    <xf numFmtId="0" fontId="1" fillId="4" borderId="59" xfId="54" applyFont="1" applyFill="1" applyBorder="1" applyAlignment="1" applyProtection="1">
      <alignment horizontal="center"/>
    </xf>
    <xf numFmtId="0" fontId="1" fillId="8" borderId="60" xfId="53" applyFont="1" applyFill="1" applyBorder="1" applyAlignment="1" applyProtection="1">
      <alignment horizontal="center" vertical="center"/>
    </xf>
    <xf numFmtId="0" fontId="1" fillId="3" borderId="43" xfId="54" applyFont="1" applyFill="1" applyBorder="1" applyAlignment="1" applyProtection="1">
      <alignment horizontal="center" wrapText="1"/>
    </xf>
    <xf numFmtId="0" fontId="1" fillId="3" borderId="44" xfId="54" applyFont="1" applyFill="1" applyBorder="1" applyAlignment="1" applyProtection="1">
      <alignment horizontal="center" wrapText="1"/>
    </xf>
    <xf numFmtId="49" fontId="1" fillId="3" borderId="44" xfId="54" applyNumberFormat="1" applyFont="1" applyFill="1" applyBorder="1" applyAlignment="1" applyProtection="1">
      <alignment horizontal="center" wrapText="1"/>
    </xf>
    <xf numFmtId="176" fontId="1" fillId="3" borderId="44" xfId="54" applyNumberFormat="1" applyFont="1" applyFill="1" applyBorder="1" applyAlignment="1" applyProtection="1">
      <alignment horizontal="center" wrapText="1"/>
    </xf>
    <xf numFmtId="0" fontId="1" fillId="3" borderId="44" xfId="51" applyFont="1" applyFill="1" applyBorder="1" applyAlignment="1" applyProtection="1">
      <alignment horizontal="center" wrapText="1"/>
    </xf>
    <xf numFmtId="49" fontId="1" fillId="3" borderId="44" xfId="54" applyNumberFormat="1" applyFont="1" applyFill="1" applyBorder="1" applyAlignment="1" applyProtection="1">
      <alignment wrapText="1"/>
    </xf>
    <xf numFmtId="40" fontId="1" fillId="3" borderId="44" xfId="1" applyNumberFormat="1" applyFont="1" applyFill="1" applyBorder="1" applyAlignment="1" applyProtection="1">
      <alignment horizontal="center" wrapText="1"/>
    </xf>
    <xf numFmtId="40" fontId="1" fillId="3" borderId="44" xfId="1" applyNumberFormat="1" applyFont="1" applyFill="1" applyBorder="1" applyAlignment="1" applyProtection="1">
      <alignment horizontal="right" wrapText="1"/>
    </xf>
    <xf numFmtId="40" fontId="12" fillId="2" borderId="45" xfId="53" applyNumberFormat="1" applyFont="1" applyFill="1" applyBorder="1" applyAlignment="1" applyProtection="1">
      <alignment horizontal="center" wrapText="1"/>
    </xf>
    <xf numFmtId="0" fontId="12" fillId="4" borderId="61" xfId="54" applyFont="1" applyFill="1" applyBorder="1" applyAlignment="1" applyProtection="1">
      <alignment horizontal="left" vertical="top" wrapText="1"/>
    </xf>
    <xf numFmtId="49" fontId="1" fillId="0" borderId="0" xfId="53" applyNumberFormat="1" applyFont="1" applyAlignment="1" applyProtection="1">
      <alignment horizontal="center" vertical="center" wrapText="1"/>
    </xf>
    <xf numFmtId="0" fontId="1" fillId="0" borderId="0" xfId="53" applyFont="1" applyAlignment="1" applyProtection="1">
      <alignment horizontal="center" wrapText="1"/>
    </xf>
    <xf numFmtId="0" fontId="1" fillId="0" borderId="0" xfId="53" applyFont="1" applyAlignment="1" applyProtection="1">
      <alignment wrapText="1"/>
    </xf>
    <xf numFmtId="0" fontId="1" fillId="0" borderId="0" xfId="53" applyFont="1" applyAlignment="1" applyProtection="1">
      <alignment horizontal="left" wrapText="1"/>
    </xf>
    <xf numFmtId="0" fontId="11" fillId="0" borderId="62" xfId="53" applyFont="1" applyBorder="1" applyProtection="1"/>
    <xf numFmtId="0" fontId="1" fillId="0" borderId="63" xfId="53" applyFont="1" applyBorder="1" applyProtection="1"/>
    <xf numFmtId="0" fontId="1" fillId="0" borderId="64" xfId="53" applyFont="1" applyBorder="1" applyProtection="1"/>
    <xf numFmtId="40" fontId="1" fillId="0" borderId="65" xfId="1" applyNumberFormat="1" applyFont="1" applyFill="1" applyBorder="1" applyAlignment="1" applyProtection="1">
      <alignment vertical="center"/>
    </xf>
    <xf numFmtId="40" fontId="1" fillId="0" borderId="65" xfId="1" applyNumberFormat="1" applyFont="1" applyFill="1" applyBorder="1" applyAlignment="1" applyProtection="1">
      <alignment horizontal="right" vertical="center"/>
    </xf>
    <xf numFmtId="40" fontId="1" fillId="3" borderId="66" xfId="4" applyNumberFormat="1" applyFont="1" applyFill="1" applyBorder="1" applyAlignment="1" applyProtection="1">
      <alignment vertical="center"/>
    </xf>
    <xf numFmtId="0" fontId="1" fillId="4" borderId="58" xfId="54" applyFont="1" applyFill="1" applyBorder="1" applyAlignment="1" applyProtection="1">
      <alignment horizontal="left" vertical="top" wrapText="1"/>
    </xf>
    <xf numFmtId="0" fontId="11" fillId="0" borderId="67" xfId="51" applyFont="1" applyBorder="1" applyProtection="1"/>
    <xf numFmtId="0" fontId="1" fillId="0" borderId="68" xfId="51" applyFont="1" applyBorder="1" applyProtection="1"/>
    <xf numFmtId="0" fontId="1" fillId="0" borderId="69" xfId="51" applyFont="1" applyBorder="1" applyProtection="1"/>
    <xf numFmtId="40" fontId="1" fillId="2" borderId="70" xfId="1" applyNumberFormat="1" applyFont="1" applyFill="1" applyBorder="1" applyAlignment="1" applyProtection="1">
      <alignment vertical="center"/>
    </xf>
    <xf numFmtId="40" fontId="1" fillId="2" borderId="70" xfId="1" applyNumberFormat="1" applyFont="1" applyFill="1" applyBorder="1" applyAlignment="1" applyProtection="1">
      <alignment horizontal="right" vertical="center"/>
    </xf>
    <xf numFmtId="40" fontId="1" fillId="2" borderId="71" xfId="4" applyNumberFormat="1" applyFont="1" applyFill="1" applyBorder="1" applyAlignment="1" applyProtection="1">
      <alignment vertical="center"/>
    </xf>
    <xf numFmtId="0" fontId="1" fillId="4" borderId="66" xfId="54" applyFont="1" applyFill="1" applyBorder="1" applyAlignment="1" applyProtection="1">
      <alignment horizontal="left" vertical="top" wrapText="1"/>
    </xf>
    <xf numFmtId="0" fontId="1" fillId="8" borderId="72" xfId="53" applyFont="1" applyFill="1" applyBorder="1" applyAlignment="1" applyProtection="1">
      <alignment horizontal="center" vertical="center"/>
    </xf>
    <xf numFmtId="0" fontId="1" fillId="0" borderId="0" xfId="53" applyFont="1" applyAlignment="1" applyProtection="1">
      <alignment horizontal="center" vertical="center" wrapText="1"/>
    </xf>
    <xf numFmtId="0" fontId="1" fillId="0" borderId="73" xfId="51" applyFont="1" applyBorder="1" applyAlignment="1" applyProtection="1">
      <alignment horizontal="center" vertical="center" wrapText="1"/>
    </xf>
    <xf numFmtId="185" fontId="1" fillId="0" borderId="4" xfId="52" applyNumberFormat="1" applyBorder="1" applyAlignment="1" applyProtection="1">
      <alignment horizontal="center" vertical="center" wrapText="1"/>
    </xf>
    <xf numFmtId="49" fontId="1" fillId="0" borderId="4" xfId="53" applyNumberFormat="1" applyFont="1" applyBorder="1" applyAlignment="1" applyProtection="1">
      <alignment vertical="center" wrapText="1"/>
    </xf>
    <xf numFmtId="186" fontId="1" fillId="0" borderId="6" xfId="52" applyNumberFormat="1" applyBorder="1" applyAlignment="1" applyProtection="1">
      <alignment horizontal="center" vertical="center"/>
    </xf>
    <xf numFmtId="0" fontId="1" fillId="9" borderId="4" xfId="53" applyFont="1" applyFill="1" applyBorder="1" applyAlignment="1" applyProtection="1">
      <alignment vertical="center" wrapText="1"/>
    </xf>
    <xf numFmtId="49" fontId="1" fillId="0" borderId="4" xfId="53" applyNumberFormat="1" applyFont="1" applyBorder="1" applyAlignment="1" applyProtection="1">
      <alignment vertical="center" shrinkToFit="1"/>
    </xf>
    <xf numFmtId="49" fontId="1" fillId="2" borderId="6" xfId="53" applyNumberFormat="1" applyFont="1" applyFill="1" applyBorder="1" applyAlignment="1" applyProtection="1">
      <alignment vertical="center" wrapText="1" shrinkToFit="1"/>
    </xf>
    <xf numFmtId="0" fontId="1" fillId="0" borderId="4" xfId="52" applyBorder="1" applyAlignment="1" applyProtection="1">
      <alignment horizontal="left" vertical="center" wrapText="1"/>
    </xf>
    <xf numFmtId="40" fontId="1" fillId="0" borderId="6" xfId="1" applyNumberFormat="1" applyFont="1" applyFill="1" applyBorder="1" applyAlignment="1" applyProtection="1">
      <alignment vertical="center" wrapText="1"/>
    </xf>
    <xf numFmtId="40" fontId="1" fillId="0" borderId="4" xfId="55" applyFont="1" applyFill="1" applyBorder="1" applyAlignment="1" applyProtection="1">
      <alignment vertical="center" wrapText="1"/>
    </xf>
    <xf numFmtId="40" fontId="1" fillId="2" borderId="6" xfId="4" applyNumberFormat="1" applyFont="1" applyFill="1" applyBorder="1" applyAlignment="1" applyProtection="1">
      <alignment vertical="center"/>
    </xf>
    <xf numFmtId="0" fontId="13" fillId="0" borderId="4" xfId="53" applyFont="1" applyBorder="1" applyAlignment="1" applyProtection="1">
      <alignment vertical="center" wrapText="1"/>
    </xf>
    <xf numFmtId="0" fontId="1" fillId="0" borderId="74" xfId="53" applyFont="1" applyBorder="1" applyAlignment="1" applyProtection="1">
      <alignment horizontal="left" vertical="center" wrapText="1"/>
    </xf>
    <xf numFmtId="0" fontId="1" fillId="0" borderId="0" xfId="53" applyFont="1" applyAlignment="1" applyProtection="1">
      <alignment horizontal="left" vertical="center" wrapText="1"/>
    </xf>
    <xf numFmtId="0" fontId="1" fillId="0" borderId="0" xfId="53" applyFont="1" applyAlignment="1" applyProtection="1">
      <alignment vertical="center" wrapText="1"/>
    </xf>
    <xf numFmtId="0" fontId="1" fillId="0" borderId="5" xfId="53" applyFont="1" applyBorder="1" applyAlignment="1" applyProtection="1">
      <alignment vertical="center" wrapText="1"/>
    </xf>
    <xf numFmtId="49" fontId="1" fillId="2" borderId="4" xfId="53" applyNumberFormat="1" applyFont="1" applyFill="1" applyBorder="1" applyAlignment="1" applyProtection="1">
      <alignment vertical="center" wrapText="1" shrinkToFit="1"/>
    </xf>
    <xf numFmtId="40" fontId="1" fillId="0" borderId="4" xfId="1" applyNumberFormat="1" applyFont="1" applyFill="1" applyBorder="1" applyAlignment="1" applyProtection="1">
      <alignment vertical="center" wrapText="1"/>
    </xf>
    <xf numFmtId="40" fontId="1" fillId="2" borderId="4" xfId="4" applyNumberFormat="1" applyFont="1" applyFill="1" applyBorder="1" applyAlignment="1" applyProtection="1">
      <alignment vertical="center"/>
    </xf>
    <xf numFmtId="0" fontId="1" fillId="0" borderId="4" xfId="53" applyFont="1" applyBorder="1" applyAlignment="1" applyProtection="1">
      <alignment vertical="center" wrapText="1"/>
    </xf>
    <xf numFmtId="49" fontId="1" fillId="2" borderId="4" xfId="52" applyNumberFormat="1" applyFill="1" applyBorder="1" applyAlignment="1" applyProtection="1">
      <alignment vertical="center" wrapText="1"/>
    </xf>
    <xf numFmtId="40" fontId="1" fillId="0" borderId="0" xfId="1" applyNumberFormat="1" applyFont="1" applyFill="1" applyAlignment="1" applyProtection="1">
      <alignment horizontal="center" vertical="center" wrapText="1"/>
    </xf>
    <xf numFmtId="187" fontId="1" fillId="0" borderId="4" xfId="53" applyNumberFormat="1" applyFont="1" applyBorder="1" applyAlignment="1" applyProtection="1">
      <alignment vertical="center" wrapText="1"/>
    </xf>
    <xf numFmtId="178" fontId="1" fillId="0" borderId="4" xfId="53" applyNumberFormat="1" applyFont="1" applyBorder="1" applyAlignment="1" applyProtection="1">
      <alignment vertical="center" wrapText="1"/>
    </xf>
    <xf numFmtId="40" fontId="1" fillId="0" borderId="0" xfId="1" applyNumberFormat="1" applyFont="1" applyFill="1" applyAlignment="1" applyProtection="1">
      <alignment horizontal="left" vertical="center" wrapText="1"/>
    </xf>
    <xf numFmtId="178" fontId="1" fillId="0" borderId="0" xfId="53" applyNumberFormat="1" applyFont="1" applyAlignment="1" applyProtection="1">
      <alignment horizontal="center" vertical="center"/>
    </xf>
    <xf numFmtId="40" fontId="1" fillId="0" borderId="4" xfId="53" applyNumberFormat="1" applyFont="1" applyBorder="1" applyAlignment="1" applyProtection="1">
      <alignment vertical="center" wrapText="1"/>
    </xf>
    <xf numFmtId="176" fontId="1" fillId="0" borderId="4" xfId="52" applyNumberFormat="1" applyBorder="1" applyAlignment="1" applyProtection="1">
      <alignment horizontal="center" vertical="center"/>
    </xf>
    <xf numFmtId="186" fontId="1" fillId="0" borderId="4" xfId="52" applyNumberFormat="1" applyBorder="1" applyAlignment="1" applyProtection="1">
      <alignment horizontal="center" vertical="center"/>
    </xf>
    <xf numFmtId="0" fontId="1" fillId="0" borderId="4" xfId="52" applyBorder="1" applyAlignment="1" applyProtection="1">
      <alignment vertical="center" wrapText="1"/>
    </xf>
    <xf numFmtId="40" fontId="1" fillId="0" borderId="5" xfId="53" applyNumberFormat="1" applyFont="1" applyBorder="1" applyAlignment="1" applyProtection="1">
      <alignment vertical="center" wrapText="1"/>
    </xf>
    <xf numFmtId="0" fontId="1" fillId="0" borderId="75" xfId="53" applyFont="1" applyBorder="1" applyAlignment="1" applyProtection="1">
      <alignment horizontal="left" vertical="center" wrapText="1"/>
    </xf>
    <xf numFmtId="0" fontId="1" fillId="0" borderId="0" xfId="0" applyFont="1" applyFill="1" applyAlignment="1" applyProtection="1">
      <alignment horizontal="center"/>
    </xf>
    <xf numFmtId="186" fontId="1" fillId="0" borderId="4" xfId="53" applyNumberFormat="1" applyFont="1" applyBorder="1" applyAlignment="1" applyProtection="1">
      <alignment horizontal="center" vertical="center"/>
    </xf>
    <xf numFmtId="176" fontId="1" fillId="0" borderId="6" xfId="53" applyNumberFormat="1" applyFont="1" applyBorder="1" applyAlignment="1" applyProtection="1">
      <alignment horizontal="center" vertical="center"/>
    </xf>
    <xf numFmtId="49" fontId="1" fillId="2" borderId="6" xfId="53" applyNumberFormat="1" applyFont="1" applyFill="1" applyBorder="1" applyAlignment="1" applyProtection="1">
      <alignment vertical="center" shrinkToFit="1"/>
    </xf>
    <xf numFmtId="0" fontId="1" fillId="0" borderId="74" xfId="53" applyFont="1" applyBorder="1" applyAlignment="1" applyProtection="1">
      <alignment vertical="center" wrapText="1"/>
    </xf>
    <xf numFmtId="40" fontId="1" fillId="0" borderId="0" xfId="55" applyFont="1" applyFill="1" applyBorder="1" applyAlignment="1" applyProtection="1">
      <alignment horizontal="center" vertical="center" wrapText="1"/>
    </xf>
    <xf numFmtId="40" fontId="1" fillId="0" borderId="4" xfId="1" applyNumberFormat="1" applyFont="1" applyFill="1" applyBorder="1" applyAlignment="1" applyProtection="1">
      <alignment horizontal="right" vertical="center" wrapText="1"/>
    </xf>
    <xf numFmtId="0" fontId="4" fillId="0" borderId="5" xfId="53" applyFont="1" applyBorder="1" applyAlignment="1" applyProtection="1">
      <alignment vertical="center" wrapText="1"/>
    </xf>
    <xf numFmtId="40" fontId="1" fillId="0" borderId="0" xfId="53" applyNumberFormat="1" applyFont="1" applyAlignment="1" applyProtection="1">
      <alignment vertical="center" wrapText="1"/>
    </xf>
    <xf numFmtId="49" fontId="14" fillId="0" borderId="4" xfId="53" applyNumberFormat="1" applyFont="1" applyBorder="1" applyAlignment="1" applyProtection="1">
      <alignment vertical="center" shrinkToFit="1"/>
    </xf>
    <xf numFmtId="176" fontId="1" fillId="0" borderId="4" xfId="53" applyNumberFormat="1" applyFont="1" applyBorder="1" applyAlignment="1" applyProtection="1">
      <alignment horizontal="center" vertical="center" wrapText="1"/>
    </xf>
    <xf numFmtId="40" fontId="1" fillId="0" borderId="4" xfId="55" applyFont="1" applyBorder="1" applyAlignment="1" applyProtection="1">
      <alignment vertical="center" wrapText="1"/>
    </xf>
    <xf numFmtId="188" fontId="1" fillId="0" borderId="4" xfId="52" applyNumberFormat="1" applyBorder="1" applyAlignment="1" applyProtection="1">
      <alignment horizontal="center" vertical="center"/>
    </xf>
    <xf numFmtId="49" fontId="1" fillId="0" borderId="5" xfId="53" applyNumberFormat="1" applyFont="1" applyBorder="1" applyAlignment="1" applyProtection="1">
      <alignment vertical="center" wrapText="1"/>
    </xf>
    <xf numFmtId="185" fontId="1" fillId="0" borderId="6" xfId="52" applyNumberFormat="1" applyBorder="1" applyAlignment="1" applyProtection="1">
      <alignment horizontal="center" vertical="center" wrapText="1"/>
    </xf>
    <xf numFmtId="40" fontId="1" fillId="0" borderId="5" xfId="55" applyFont="1" applyFill="1" applyBorder="1" applyAlignment="1" applyProtection="1">
      <alignment vertical="center" wrapText="1"/>
    </xf>
    <xf numFmtId="40" fontId="1" fillId="0" borderId="4" xfId="1" applyNumberFormat="1" applyFont="1" applyFill="1" applyBorder="1" applyAlignment="1" applyProtection="1"/>
    <xf numFmtId="40" fontId="1" fillId="0" borderId="4" xfId="1" applyNumberFormat="1" applyFont="1" applyFill="1" applyBorder="1" applyAlignment="1" applyProtection="1">
      <alignment horizontal="right" vertical="center"/>
    </xf>
    <xf numFmtId="0" fontId="1" fillId="0" borderId="4" xfId="53" applyFont="1" applyBorder="1" applyProtection="1"/>
    <xf numFmtId="40" fontId="1" fillId="0" borderId="6" xfId="1" applyNumberFormat="1" applyFont="1" applyFill="1" applyBorder="1" applyAlignment="1" applyProtection="1">
      <alignment horizontal="right" vertical="center" wrapText="1"/>
    </xf>
    <xf numFmtId="0" fontId="1" fillId="0" borderId="74" xfId="53" applyFont="1" applyBorder="1" applyAlignment="1" applyProtection="1">
      <alignment wrapText="1"/>
    </xf>
    <xf numFmtId="0" fontId="1" fillId="0" borderId="74" xfId="53" applyFont="1" applyBorder="1" applyAlignment="1" applyProtection="1">
      <alignment vertical="center"/>
    </xf>
    <xf numFmtId="176" fontId="1" fillId="0" borderId="5" xfId="53" applyNumberFormat="1" applyFont="1" applyBorder="1" applyAlignment="1" applyProtection="1">
      <alignment horizontal="center" vertical="center" wrapText="1"/>
    </xf>
    <xf numFmtId="49" fontId="1" fillId="2" borderId="5" xfId="53" applyNumberFormat="1" applyFont="1" applyFill="1" applyBorder="1" applyAlignment="1" applyProtection="1">
      <alignment vertical="center" wrapText="1" shrinkToFit="1"/>
    </xf>
    <xf numFmtId="40" fontId="1" fillId="0" borderId="5" xfId="1" applyNumberFormat="1" applyFont="1" applyFill="1" applyBorder="1" applyAlignment="1" applyProtection="1">
      <alignment vertical="center" wrapText="1"/>
    </xf>
    <xf numFmtId="40" fontId="1" fillId="0" borderId="5" xfId="1" applyNumberFormat="1" applyFont="1" applyFill="1" applyBorder="1" applyAlignment="1" applyProtection="1">
      <alignment horizontal="right" vertical="center" wrapText="1"/>
    </xf>
    <xf numFmtId="0" fontId="1" fillId="0" borderId="76" xfId="53" applyFont="1" applyBorder="1" applyAlignment="1" applyProtection="1">
      <alignment vertical="center" wrapText="1"/>
    </xf>
    <xf numFmtId="176" fontId="1" fillId="0" borderId="6" xfId="53" applyNumberFormat="1" applyFont="1" applyBorder="1" applyAlignment="1" applyProtection="1">
      <alignment horizontal="center" vertical="center" wrapText="1"/>
    </xf>
    <xf numFmtId="40" fontId="1" fillId="9" borderId="4" xfId="58" applyNumberFormat="1" applyFont="1" applyFill="1" applyBorder="1" applyAlignment="1" applyProtection="1">
      <alignment vertical="center"/>
    </xf>
    <xf numFmtId="40" fontId="1" fillId="0" borderId="0" xfId="1" applyNumberFormat="1" applyFont="1" applyFill="1" applyAlignment="1" applyProtection="1"/>
    <xf numFmtId="40" fontId="1" fillId="0" borderId="0" xfId="1" applyNumberFormat="1" applyFont="1" applyFill="1" applyAlignment="1" applyProtection="1">
      <alignment horizontal="right" vertical="center"/>
    </xf>
    <xf numFmtId="176" fontId="1" fillId="0" borderId="0" xfId="53" applyNumberFormat="1" applyFont="1" applyAlignment="1" applyProtection="1">
      <alignment horizontal="center"/>
      <protection locked="0"/>
    </xf>
    <xf numFmtId="0" fontId="1" fillId="0" borderId="6" xfId="52" applyBorder="1" applyAlignment="1">
      <alignment horizontal="left" vertical="center" wrapText="1"/>
    </xf>
    <xf numFmtId="40" fontId="1" fillId="0" borderId="0" xfId="1" applyNumberFormat="1" applyFont="1" applyAlignment="1" applyProtection="1">
      <protection locked="0"/>
    </xf>
    <xf numFmtId="189" fontId="1" fillId="0" borderId="0" xfId="53" applyNumberFormat="1" applyFont="1" applyProtection="1">
      <protection locked="0"/>
    </xf>
    <xf numFmtId="0" fontId="1" fillId="0" borderId="0" xfId="53" applyFont="1" applyAlignment="1" applyProtection="1">
      <alignment horizontal="center" vertical="center"/>
      <protection locked="0"/>
    </xf>
    <xf numFmtId="0" fontId="3" fillId="0" borderId="0" xfId="53" applyFont="1" applyAlignment="1">
      <alignment vertical="center"/>
    </xf>
    <xf numFmtId="0" fontId="3" fillId="0" borderId="0" xfId="51" applyFont="1" applyAlignment="1">
      <alignment vertical="center"/>
    </xf>
    <xf numFmtId="49" fontId="6" fillId="0" borderId="0" xfId="53" applyNumberFormat="1" applyFont="1" applyAlignment="1">
      <alignment wrapText="1"/>
    </xf>
    <xf numFmtId="49" fontId="1" fillId="0" borderId="0" xfId="53" applyNumberFormat="1" applyFont="1"/>
    <xf numFmtId="49" fontId="1" fillId="0" borderId="0" xfId="53" applyNumberFormat="1" applyFont="1" applyAlignment="1" applyProtection="1">
      <alignment wrapText="1"/>
      <protection locked="0"/>
    </xf>
    <xf numFmtId="40" fontId="1" fillId="0" borderId="0" xfId="1" applyNumberFormat="1" applyFont="1" applyBorder="1" applyAlignment="1" applyProtection="1">
      <protection locked="0"/>
    </xf>
    <xf numFmtId="40" fontId="1" fillId="0" borderId="0" xfId="1" applyNumberFormat="1" applyFont="1" applyAlignment="1" applyProtection="1">
      <alignment horizontal="center"/>
      <protection locked="0"/>
    </xf>
    <xf numFmtId="40" fontId="1" fillId="0" borderId="0" xfId="1" applyNumberFormat="1" applyFont="1" applyAlignment="1" applyProtection="1">
      <alignment horizontal="center" vertical="center"/>
      <protection locked="0"/>
    </xf>
    <xf numFmtId="40" fontId="1" fillId="0" borderId="0" xfId="1" applyNumberFormat="1" applyFont="1" applyBorder="1" applyAlignment="1" applyProtection="1">
      <alignment horizontal="center" vertical="center"/>
      <protection locked="0"/>
    </xf>
    <xf numFmtId="0" fontId="9" fillId="3" borderId="34" xfId="53" applyFont="1" applyFill="1" applyBorder="1"/>
    <xf numFmtId="0" fontId="9" fillId="3" borderId="35" xfId="51" applyFont="1" applyFill="1" applyBorder="1"/>
    <xf numFmtId="0" fontId="10" fillId="2" borderId="37" xfId="53" applyFont="1" applyFill="1" applyBorder="1" applyProtection="1">
      <protection locked="0"/>
    </xf>
    <xf numFmtId="182" fontId="9" fillId="2" borderId="36" xfId="53" applyNumberFormat="1" applyFont="1" applyFill="1" applyBorder="1" applyAlignment="1" applyProtection="1">
      <alignment horizontal="center" vertical="center"/>
      <protection locked="0"/>
    </xf>
    <xf numFmtId="182" fontId="9" fillId="2" borderId="37" xfId="53" applyNumberFormat="1" applyFont="1" applyFill="1" applyBorder="1" applyAlignment="1" applyProtection="1">
      <alignment horizontal="center" vertical="center"/>
      <protection locked="0"/>
    </xf>
    <xf numFmtId="183" fontId="9" fillId="2" borderId="38" xfId="53" applyNumberFormat="1" applyFont="1" applyFill="1" applyBorder="1" applyAlignment="1" applyProtection="1">
      <alignment horizontal="center" vertical="center"/>
      <protection locked="0"/>
    </xf>
    <xf numFmtId="40" fontId="1" fillId="3" borderId="39" xfId="1" applyNumberFormat="1" applyFont="1" applyFill="1" applyBorder="1" applyAlignment="1" applyProtection="1">
      <protection locked="0"/>
    </xf>
    <xf numFmtId="189" fontId="11" fillId="0" borderId="0" xfId="53" applyNumberFormat="1" applyFont="1" applyProtection="1">
      <protection locked="0"/>
    </xf>
    <xf numFmtId="0" fontId="9" fillId="3" borderId="40" xfId="53" applyFont="1" applyFill="1" applyBorder="1" applyAlignment="1">
      <alignment vertical="center"/>
    </xf>
    <xf numFmtId="0" fontId="9" fillId="3" borderId="33" xfId="51" applyFont="1" applyFill="1" applyBorder="1" applyAlignment="1">
      <alignment vertical="center"/>
    </xf>
    <xf numFmtId="49" fontId="9" fillId="0" borderId="8" xfId="53" applyNumberFormat="1" applyFont="1" applyBorder="1" applyAlignment="1" applyProtection="1">
      <alignment vertical="center"/>
      <protection locked="0"/>
    </xf>
    <xf numFmtId="49" fontId="9" fillId="0" borderId="10" xfId="53" applyNumberFormat="1" applyFont="1" applyBorder="1" applyAlignment="1" applyProtection="1">
      <alignment vertical="center"/>
      <protection locked="0"/>
    </xf>
    <xf numFmtId="49" fontId="9" fillId="0" borderId="11" xfId="53" applyNumberFormat="1" applyFont="1" applyBorder="1" applyAlignment="1" applyProtection="1">
      <alignment vertical="center"/>
      <protection locked="0"/>
    </xf>
    <xf numFmtId="49" fontId="9" fillId="9" borderId="41" xfId="53" applyNumberFormat="1" applyFont="1" applyFill="1" applyBorder="1" applyAlignment="1" applyProtection="1">
      <alignment horizontal="center" vertical="center"/>
      <protection locked="0"/>
    </xf>
    <xf numFmtId="49" fontId="1" fillId="0" borderId="0" xfId="53" applyNumberFormat="1" applyFont="1" applyAlignment="1" applyProtection="1">
      <alignment vertical="center"/>
      <protection locked="0"/>
    </xf>
    <xf numFmtId="40" fontId="1" fillId="0" borderId="0" xfId="1" applyNumberFormat="1" applyFont="1" applyBorder="1" applyAlignment="1" applyProtection="1">
      <alignment vertical="center"/>
      <protection locked="0"/>
    </xf>
    <xf numFmtId="40" fontId="1" fillId="9" borderId="42" xfId="1" applyNumberFormat="1" applyFont="1" applyFill="1" applyBorder="1" applyAlignment="1" applyProtection="1">
      <alignment vertical="center"/>
      <protection locked="0"/>
    </xf>
    <xf numFmtId="189" fontId="11" fillId="0" borderId="0" xfId="53" applyNumberFormat="1" applyFont="1" applyAlignment="1" applyProtection="1">
      <alignment vertical="center"/>
      <protection locked="0"/>
    </xf>
    <xf numFmtId="190" fontId="1" fillId="0" borderId="0" xfId="1" applyNumberFormat="1" applyFont="1" applyAlignment="1" applyProtection="1">
      <alignment horizontal="center" vertical="center"/>
      <protection locked="0"/>
    </xf>
    <xf numFmtId="191" fontId="1" fillId="0" borderId="0" xfId="53" applyNumberFormat="1" applyFont="1" applyAlignment="1" applyProtection="1">
      <alignment horizontal="center" vertical="center"/>
      <protection locked="0"/>
    </xf>
    <xf numFmtId="0" fontId="9" fillId="3" borderId="43" xfId="53" applyFont="1" applyFill="1" applyBorder="1" applyAlignment="1">
      <alignment vertical="center"/>
    </xf>
    <xf numFmtId="0" fontId="9" fillId="3" borderId="44" xfId="51" applyFont="1" applyFill="1" applyBorder="1" applyAlignment="1">
      <alignment vertical="center"/>
    </xf>
    <xf numFmtId="49" fontId="9" fillId="0" borderId="44" xfId="53" applyNumberFormat="1" applyFont="1" applyBorder="1" applyAlignment="1" applyProtection="1">
      <alignment vertical="center"/>
      <protection locked="0"/>
    </xf>
    <xf numFmtId="176" fontId="9" fillId="0" borderId="44" xfId="53" applyNumberFormat="1" applyFont="1" applyBorder="1" applyAlignment="1" applyProtection="1">
      <alignment horizontal="center" vertical="center"/>
      <protection locked="0"/>
    </xf>
    <xf numFmtId="49" fontId="9" fillId="0" borderId="48" xfId="53" applyNumberFormat="1" applyFont="1" applyBorder="1" applyAlignment="1" applyProtection="1">
      <alignment horizontal="center" vertical="center"/>
      <protection locked="0"/>
    </xf>
    <xf numFmtId="40" fontId="1" fillId="10" borderId="49" xfId="1" applyNumberFormat="1" applyFont="1" applyFill="1" applyBorder="1" applyAlignment="1" applyProtection="1">
      <alignment vertical="center"/>
      <protection locked="0"/>
    </xf>
    <xf numFmtId="0" fontId="1" fillId="0" borderId="0" xfId="51" applyFont="1" applyProtection="1">
      <protection locked="0"/>
    </xf>
    <xf numFmtId="0" fontId="12" fillId="3" borderId="50" xfId="54" applyFont="1" applyFill="1" applyBorder="1" applyAlignment="1">
      <alignment horizontal="center"/>
    </xf>
    <xf numFmtId="0" fontId="12" fillId="3" borderId="51" xfId="54" applyFont="1" applyFill="1" applyBorder="1" applyAlignment="1">
      <alignment horizontal="center"/>
    </xf>
    <xf numFmtId="49" fontId="12" fillId="3" borderId="51" xfId="54" applyNumberFormat="1" applyFont="1" applyFill="1" applyBorder="1" applyAlignment="1">
      <alignment horizontal="center"/>
    </xf>
    <xf numFmtId="49" fontId="12" fillId="3" borderId="52" xfId="54" applyNumberFormat="1" applyFont="1" applyFill="1" applyBorder="1" applyAlignment="1">
      <alignment horizontal="center"/>
    </xf>
    <xf numFmtId="49" fontId="12" fillId="3" borderId="53" xfId="54" applyNumberFormat="1" applyFont="1" applyFill="1" applyBorder="1" applyAlignment="1">
      <alignment horizontal="center"/>
    </xf>
    <xf numFmtId="49" fontId="1" fillId="3" borderId="51" xfId="54" applyNumberFormat="1" applyFont="1" applyFill="1" applyBorder="1" applyAlignment="1">
      <alignment horizontal="center"/>
    </xf>
    <xf numFmtId="49" fontId="12" fillId="3" borderId="51" xfId="54" applyNumberFormat="1" applyFont="1" applyFill="1" applyBorder="1" applyAlignment="1">
      <alignment horizontal="center" wrapText="1"/>
    </xf>
    <xf numFmtId="189" fontId="12" fillId="9" borderId="52" xfId="53" applyNumberFormat="1" applyFont="1" applyFill="1" applyBorder="1" applyAlignment="1">
      <alignment horizontal="center"/>
    </xf>
    <xf numFmtId="0" fontId="12" fillId="10" borderId="52" xfId="54" applyFont="1" applyFill="1" applyBorder="1" applyAlignment="1">
      <alignment horizontal="center"/>
    </xf>
    <xf numFmtId="0" fontId="1" fillId="11" borderId="54" xfId="53" applyFont="1" applyFill="1" applyBorder="1" applyAlignment="1" applyProtection="1">
      <alignment horizontal="center" vertical="center"/>
      <protection locked="0"/>
    </xf>
    <xf numFmtId="39" fontId="1" fillId="0" borderId="0" xfId="53" applyNumberFormat="1" applyFont="1" applyAlignment="1" applyProtection="1">
      <alignment horizontal="center"/>
      <protection locked="0"/>
    </xf>
    <xf numFmtId="0" fontId="1" fillId="3" borderId="55" xfId="54" applyFont="1" applyFill="1" applyBorder="1" applyAlignment="1">
      <alignment horizontal="center"/>
    </xf>
    <xf numFmtId="0" fontId="1" fillId="3" borderId="56" xfId="54" applyFont="1" applyFill="1" applyBorder="1" applyAlignment="1">
      <alignment horizontal="center"/>
    </xf>
    <xf numFmtId="49" fontId="1" fillId="3" borderId="57" xfId="54" applyNumberFormat="1" applyFont="1" applyFill="1" applyBorder="1" applyAlignment="1">
      <alignment horizontal="center"/>
    </xf>
    <xf numFmtId="49" fontId="1" fillId="3" borderId="59" xfId="54" applyNumberFormat="1" applyFont="1" applyFill="1" applyBorder="1" applyAlignment="1">
      <alignment horizontal="center"/>
    </xf>
    <xf numFmtId="49" fontId="1" fillId="3" borderId="77" xfId="54" applyNumberFormat="1" applyFont="1" applyFill="1" applyBorder="1" applyAlignment="1">
      <alignment horizontal="center"/>
    </xf>
    <xf numFmtId="49" fontId="12" fillId="3" borderId="78" xfId="54" applyNumberFormat="1" applyFont="1" applyFill="1" applyBorder="1" applyAlignment="1">
      <alignment horizontal="center" wrapText="1"/>
    </xf>
    <xf numFmtId="189" fontId="1" fillId="9" borderId="58" xfId="53" applyNumberFormat="1" applyFont="1" applyFill="1" applyBorder="1" applyAlignment="1">
      <alignment horizontal="center"/>
    </xf>
    <xf numFmtId="0" fontId="1" fillId="10" borderId="59" xfId="54" applyFont="1" applyFill="1" applyBorder="1" applyAlignment="1">
      <alignment horizontal="center"/>
    </xf>
    <xf numFmtId="0" fontId="1" fillId="11" borderId="60" xfId="53" applyFont="1" applyFill="1" applyBorder="1" applyAlignment="1" applyProtection="1">
      <alignment horizontal="center" vertical="center"/>
      <protection locked="0"/>
    </xf>
    <xf numFmtId="0" fontId="1" fillId="3" borderId="43" xfId="54" applyFont="1" applyFill="1" applyBorder="1" applyAlignment="1">
      <alignment horizontal="center" wrapText="1"/>
    </xf>
    <xf numFmtId="0" fontId="1" fillId="3" borderId="44" xfId="54" applyFont="1" applyFill="1" applyBorder="1" applyAlignment="1">
      <alignment horizontal="center" wrapText="1"/>
    </xf>
    <xf numFmtId="49" fontId="1" fillId="3" borderId="44" xfId="54" applyNumberFormat="1" applyFont="1" applyFill="1" applyBorder="1" applyAlignment="1">
      <alignment horizontal="center" wrapText="1"/>
    </xf>
    <xf numFmtId="176" fontId="1" fillId="3" borderId="44" xfId="54" applyNumberFormat="1" applyFont="1" applyFill="1" applyBorder="1" applyAlignment="1">
      <alignment horizontal="center" wrapText="1"/>
    </xf>
    <xf numFmtId="49" fontId="1" fillId="9" borderId="44" xfId="54" applyNumberFormat="1" applyFont="1" applyFill="1" applyBorder="1" applyAlignment="1">
      <alignment horizontal="center" wrapText="1"/>
    </xf>
    <xf numFmtId="49" fontId="1" fillId="3" borderId="44" xfId="51" applyNumberFormat="1" applyFont="1" applyFill="1" applyBorder="1" applyAlignment="1">
      <alignment horizontal="center" wrapText="1"/>
    </xf>
    <xf numFmtId="49" fontId="1" fillId="3" borderId="44" xfId="54" applyNumberFormat="1" applyFont="1" applyFill="1" applyBorder="1" applyAlignment="1">
      <alignment wrapText="1"/>
    </xf>
    <xf numFmtId="189" fontId="12" fillId="9" borderId="45" xfId="53" applyNumberFormat="1" applyFont="1" applyFill="1" applyBorder="1" applyAlignment="1">
      <alignment horizontal="center" wrapText="1"/>
    </xf>
    <xf numFmtId="0" fontId="12" fillId="10" borderId="61" xfId="54" applyFont="1" applyFill="1" applyBorder="1" applyAlignment="1">
      <alignment horizontal="left" vertical="top" wrapText="1"/>
    </xf>
    <xf numFmtId="49" fontId="1" fillId="0" borderId="0" xfId="53" applyNumberFormat="1" applyFont="1" applyAlignment="1" applyProtection="1">
      <alignment horizontal="center" vertical="center" wrapText="1"/>
      <protection locked="0"/>
    </xf>
    <xf numFmtId="0" fontId="1" fillId="0" borderId="0" xfId="53" applyFont="1" applyAlignment="1" applyProtection="1">
      <alignment horizontal="center" wrapText="1"/>
      <protection locked="0"/>
    </xf>
    <xf numFmtId="0" fontId="1" fillId="0" borderId="0" xfId="53" applyFont="1" applyAlignment="1" applyProtection="1">
      <alignment horizontal="center" vertical="center" wrapText="1"/>
      <protection locked="0"/>
    </xf>
    <xf numFmtId="0" fontId="11" fillId="0" borderId="67" xfId="53" applyFont="1" applyBorder="1" applyAlignment="1">
      <alignment vertical="center"/>
    </xf>
    <xf numFmtId="0" fontId="11" fillId="0" borderId="68" xfId="53" applyFont="1" applyBorder="1" applyAlignment="1">
      <alignment vertical="center"/>
    </xf>
    <xf numFmtId="0" fontId="11" fillId="0" borderId="69" xfId="53" applyFont="1" applyBorder="1" applyAlignment="1">
      <alignment vertical="center"/>
    </xf>
    <xf numFmtId="180" fontId="1" fillId="12" borderId="65" xfId="1" applyNumberFormat="1" applyFont="1" applyFill="1" applyBorder="1" applyAlignment="1" applyProtection="1">
      <alignment vertical="center"/>
      <protection locked="0"/>
    </xf>
    <xf numFmtId="40" fontId="1" fillId="3" borderId="66" xfId="1" applyNumberFormat="1" applyFont="1" applyFill="1" applyBorder="1" applyAlignment="1" applyProtection="1">
      <alignment vertical="center"/>
      <protection locked="0"/>
    </xf>
    <xf numFmtId="0" fontId="12" fillId="10" borderId="58" xfId="54" applyFont="1" applyFill="1" applyBorder="1" applyAlignment="1">
      <alignment horizontal="left" vertical="top" wrapText="1"/>
    </xf>
    <xf numFmtId="0" fontId="11" fillId="12" borderId="67" xfId="51" applyFont="1" applyFill="1" applyBorder="1" applyAlignment="1">
      <alignment vertical="center"/>
    </xf>
    <xf numFmtId="0" fontId="11" fillId="12" borderId="68" xfId="51" applyFont="1" applyFill="1" applyBorder="1" applyAlignment="1">
      <alignment vertical="center"/>
    </xf>
    <xf numFmtId="0" fontId="11" fillId="12" borderId="69" xfId="51" applyFont="1" applyFill="1" applyBorder="1" applyAlignment="1">
      <alignment vertical="center"/>
    </xf>
    <xf numFmtId="40" fontId="1" fillId="9" borderId="70" xfId="1" applyNumberFormat="1" applyFont="1" applyFill="1" applyBorder="1" applyAlignment="1" applyProtection="1">
      <alignment vertical="center"/>
    </xf>
    <xf numFmtId="39" fontId="1" fillId="9" borderId="71" xfId="4" applyNumberFormat="1" applyFont="1" applyFill="1" applyBorder="1" applyAlignment="1" applyProtection="1">
      <alignment vertical="center"/>
    </xf>
    <xf numFmtId="0" fontId="12" fillId="10" borderId="66" xfId="54" applyFont="1" applyFill="1" applyBorder="1" applyAlignment="1">
      <alignment horizontal="left" vertical="top" wrapText="1"/>
    </xf>
    <xf numFmtId="0" fontId="1" fillId="11" borderId="72" xfId="53" applyFont="1" applyFill="1" applyBorder="1" applyAlignment="1" applyProtection="1">
      <alignment horizontal="center" vertical="center"/>
      <protection locked="0"/>
    </xf>
    <xf numFmtId="49" fontId="15" fillId="0" borderId="0" xfId="53" applyNumberFormat="1" applyFont="1" applyAlignment="1" applyProtection="1">
      <alignment horizontal="center" vertical="center"/>
      <protection locked="0"/>
    </xf>
    <xf numFmtId="0" fontId="1" fillId="0" borderId="73" xfId="56" applyFont="1" applyBorder="1" applyAlignment="1">
      <alignment horizontal="center" vertical="center" wrapText="1"/>
    </xf>
    <xf numFmtId="185" fontId="1" fillId="0" borderId="4" xfId="52" applyNumberFormat="1" applyBorder="1" applyAlignment="1">
      <alignment horizontal="center" vertical="center" wrapText="1"/>
    </xf>
    <xf numFmtId="0" fontId="1" fillId="0" borderId="4" xfId="52" applyBorder="1" applyAlignment="1">
      <alignment vertical="center" wrapText="1"/>
    </xf>
    <xf numFmtId="186" fontId="1" fillId="0" borderId="4" xfId="52" applyNumberFormat="1" applyBorder="1" applyAlignment="1">
      <alignment horizontal="center" vertical="center"/>
    </xf>
    <xf numFmtId="0" fontId="1" fillId="9" borderId="4" xfId="53" applyFont="1" applyFill="1" applyBorder="1" applyAlignment="1">
      <alignment vertical="center" wrapText="1"/>
    </xf>
    <xf numFmtId="49" fontId="1" fillId="0" borderId="4" xfId="53" applyNumberFormat="1" applyFont="1" applyBorder="1" applyAlignment="1" applyProtection="1">
      <alignment vertical="center" shrinkToFit="1"/>
      <protection locked="0"/>
    </xf>
    <xf numFmtId="49" fontId="1" fillId="2" borderId="4" xfId="52" applyNumberFormat="1" applyFill="1" applyBorder="1" applyAlignment="1">
      <alignment vertical="center" wrapText="1"/>
    </xf>
    <xf numFmtId="0" fontId="1" fillId="0" borderId="4" xfId="52" applyBorder="1" applyAlignment="1">
      <alignment horizontal="left" vertical="center" wrapText="1"/>
    </xf>
    <xf numFmtId="40" fontId="1" fillId="0" borderId="4" xfId="1" applyNumberFormat="1" applyFont="1" applyFill="1" applyBorder="1" applyAlignment="1">
      <alignment vertical="center" wrapText="1"/>
    </xf>
    <xf numFmtId="40" fontId="1" fillId="9" borderId="4" xfId="57" applyNumberFormat="1" applyFont="1" applyFill="1" applyBorder="1" applyAlignment="1" applyProtection="1">
      <alignment vertical="center"/>
    </xf>
    <xf numFmtId="0" fontId="1" fillId="0" borderId="4" xfId="53" applyFont="1" applyBorder="1" applyAlignment="1" applyProtection="1">
      <alignment vertical="center" wrapText="1"/>
      <protection locked="0"/>
    </xf>
    <xf numFmtId="0" fontId="1" fillId="0" borderId="74" xfId="53" applyFont="1" applyBorder="1" applyAlignment="1" applyProtection="1">
      <alignment horizontal="left" vertical="center" wrapText="1"/>
      <protection locked="0"/>
    </xf>
    <xf numFmtId="187" fontId="1" fillId="0" borderId="4" xfId="53" applyNumberFormat="1" applyFont="1" applyBorder="1" applyAlignment="1" applyProtection="1">
      <alignment vertical="center" wrapText="1"/>
      <protection locked="0"/>
    </xf>
    <xf numFmtId="0" fontId="1" fillId="9" borderId="6" xfId="53" applyFont="1" applyFill="1" applyBorder="1" applyAlignment="1">
      <alignment vertical="center" wrapText="1"/>
    </xf>
    <xf numFmtId="0" fontId="1" fillId="0" borderId="5" xfId="53" applyFont="1" applyBorder="1" applyAlignment="1" applyProtection="1">
      <alignment vertical="center" wrapText="1"/>
      <protection locked="0"/>
    </xf>
    <xf numFmtId="192" fontId="1" fillId="0" borderId="5" xfId="53" applyNumberFormat="1" applyFont="1" applyBorder="1" applyAlignment="1" applyProtection="1">
      <alignment vertical="center" wrapText="1"/>
      <protection locked="0"/>
    </xf>
    <xf numFmtId="178" fontId="1" fillId="0" borderId="0" xfId="53" applyNumberFormat="1" applyFont="1" applyAlignment="1" applyProtection="1">
      <alignment horizontal="center" vertical="center"/>
      <protection locked="0"/>
    </xf>
    <xf numFmtId="0" fontId="16" fillId="0" borderId="0" xfId="0" applyFont="1" applyFill="1" applyAlignment="1">
      <alignment wrapText="1"/>
    </xf>
    <xf numFmtId="40" fontId="1" fillId="0" borderId="0" xfId="1" applyNumberFormat="1" applyFont="1" applyFill="1" applyAlignment="1" applyProtection="1">
      <alignment horizontal="center" vertical="center"/>
      <protection locked="0"/>
    </xf>
    <xf numFmtId="40" fontId="1" fillId="0" borderId="4" xfId="55" applyFont="1" applyFill="1" applyBorder="1" applyAlignment="1">
      <alignment vertical="center" wrapText="1"/>
    </xf>
    <xf numFmtId="49" fontId="1" fillId="2" borderId="5" xfId="52" applyNumberFormat="1" applyFill="1" applyBorder="1" applyAlignment="1">
      <alignment vertical="center" wrapText="1"/>
    </xf>
    <xf numFmtId="49" fontId="1" fillId="0" borderId="4" xfId="53" applyNumberFormat="1" applyFont="1" applyBorder="1" applyAlignment="1" applyProtection="1">
      <alignment vertical="center" wrapText="1"/>
      <protection locked="0"/>
    </xf>
    <xf numFmtId="0" fontId="13" fillId="0" borderId="0" xfId="53" applyFont="1" applyAlignment="1" applyProtection="1">
      <alignment horizontal="center" vertical="center"/>
      <protection locked="0"/>
    </xf>
    <xf numFmtId="185" fontId="14" fillId="0" borderId="4" xfId="52" applyNumberFormat="1" applyFont="1" applyBorder="1" applyAlignment="1">
      <alignment horizontal="center" vertical="center" wrapText="1"/>
    </xf>
    <xf numFmtId="185" fontId="14" fillId="0" borderId="6" xfId="52" applyNumberFormat="1" applyFont="1" applyBorder="1" applyAlignment="1">
      <alignment horizontal="center" vertical="center" wrapText="1"/>
    </xf>
    <xf numFmtId="0" fontId="1" fillId="0" borderId="5" xfId="52" applyBorder="1" applyAlignment="1">
      <alignment vertical="center" wrapText="1"/>
    </xf>
    <xf numFmtId="40" fontId="17" fillId="0" borderId="0" xfId="1" applyNumberFormat="1" applyFont="1" applyAlignment="1" applyProtection="1">
      <protection locked="0"/>
    </xf>
    <xf numFmtId="40" fontId="17" fillId="0" borderId="79" xfId="1" applyNumberFormat="1" applyFont="1" applyBorder="1" applyAlignment="1" applyProtection="1">
      <protection locked="0"/>
    </xf>
    <xf numFmtId="58" fontId="1" fillId="0" borderId="0" xfId="53" applyNumberFormat="1" applyFont="1" applyProtection="1">
      <protection locked="0"/>
    </xf>
    <xf numFmtId="184" fontId="1" fillId="0" borderId="0" xfId="53" applyNumberFormat="1" applyFont="1" applyProtection="1">
      <protection locked="0"/>
    </xf>
    <xf numFmtId="49" fontId="6" fillId="0" borderId="0" xfId="53" applyNumberFormat="1" applyFont="1" applyAlignment="1" applyProtection="1">
      <alignment wrapText="1"/>
    </xf>
    <xf numFmtId="184" fontId="1" fillId="0" borderId="0" xfId="53" applyNumberFormat="1" applyFont="1" applyProtection="1"/>
    <xf numFmtId="0" fontId="18" fillId="2" borderId="37" xfId="0" applyFont="1" applyFill="1" applyBorder="1" applyAlignment="1" applyProtection="1">
      <alignment horizontal="center" vertical="center"/>
    </xf>
    <xf numFmtId="184" fontId="1" fillId="3" borderId="39" xfId="53" applyNumberFormat="1" applyFont="1" applyFill="1" applyBorder="1" applyProtection="1"/>
    <xf numFmtId="0" fontId="9" fillId="0" borderId="33" xfId="53" applyFont="1" applyBorder="1" applyAlignment="1" applyProtection="1">
      <alignment vertical="center"/>
    </xf>
    <xf numFmtId="49" fontId="9" fillId="9" borderId="41" xfId="53" applyNumberFormat="1" applyFont="1" applyFill="1" applyBorder="1" applyAlignment="1" applyProtection="1">
      <alignment horizontal="center" vertical="center"/>
    </xf>
    <xf numFmtId="184" fontId="1" fillId="0" borderId="0" xfId="53" applyNumberFormat="1" applyFont="1" applyAlignment="1" applyProtection="1">
      <alignment vertical="center"/>
    </xf>
    <xf numFmtId="184" fontId="1" fillId="9" borderId="42" xfId="53" applyNumberFormat="1" applyFont="1" applyFill="1" applyBorder="1" applyAlignment="1" applyProtection="1">
      <alignment vertical="center"/>
    </xf>
    <xf numFmtId="49" fontId="9" fillId="0" borderId="44" xfId="53" applyNumberFormat="1" applyFont="1" applyBorder="1" applyAlignment="1" applyProtection="1">
      <alignment vertical="center"/>
    </xf>
    <xf numFmtId="49" fontId="9" fillId="0" borderId="44" xfId="53" applyNumberFormat="1" applyFont="1" applyBorder="1" applyAlignment="1" applyProtection="1">
      <alignment horizontal="center" vertical="center"/>
    </xf>
    <xf numFmtId="184" fontId="1" fillId="10" borderId="49" xfId="53" applyNumberFormat="1" applyFont="1" applyFill="1" applyBorder="1" applyAlignment="1" applyProtection="1">
      <alignment vertical="center"/>
    </xf>
    <xf numFmtId="58" fontId="12" fillId="3" borderId="51" xfId="54" applyNumberFormat="1" applyFont="1" applyFill="1" applyBorder="1" applyAlignment="1" applyProtection="1">
      <alignment horizontal="center"/>
    </xf>
    <xf numFmtId="184" fontId="12" fillId="3" borderId="51" xfId="54" applyNumberFormat="1" applyFont="1" applyFill="1" applyBorder="1" applyAlignment="1" applyProtection="1">
      <alignment horizontal="center"/>
    </xf>
    <xf numFmtId="184" fontId="12" fillId="9" borderId="52" xfId="53" applyNumberFormat="1" applyFont="1" applyFill="1" applyBorder="1" applyAlignment="1" applyProtection="1">
      <alignment horizontal="center"/>
    </xf>
    <xf numFmtId="0" fontId="12" fillId="10" borderId="52" xfId="54" applyFont="1" applyFill="1" applyBorder="1" applyAlignment="1" applyProtection="1">
      <alignment horizontal="center"/>
    </xf>
    <xf numFmtId="0" fontId="1" fillId="11" borderId="54" xfId="53" applyFont="1" applyFill="1" applyBorder="1" applyAlignment="1" applyProtection="1">
      <alignment horizontal="center" vertical="center"/>
    </xf>
    <xf numFmtId="58" fontId="1" fillId="3" borderId="56" xfId="54" applyNumberFormat="1" applyFont="1" applyFill="1" applyBorder="1" applyAlignment="1" applyProtection="1">
      <alignment horizontal="center"/>
    </xf>
    <xf numFmtId="184" fontId="1" fillId="3" borderId="57" xfId="54" applyNumberFormat="1" applyFont="1" applyFill="1" applyBorder="1" applyAlignment="1" applyProtection="1">
      <alignment horizontal="center"/>
    </xf>
    <xf numFmtId="184" fontId="1" fillId="9" borderId="58" xfId="53" applyNumberFormat="1" applyFont="1" applyFill="1" applyBorder="1" applyAlignment="1" applyProtection="1">
      <alignment horizontal="center"/>
    </xf>
    <xf numFmtId="0" fontId="1" fillId="10" borderId="59" xfId="54" applyFont="1" applyFill="1" applyBorder="1" applyAlignment="1" applyProtection="1">
      <alignment horizontal="center"/>
    </xf>
    <xf numFmtId="0" fontId="1" fillId="11" borderId="60" xfId="53" applyFont="1" applyFill="1" applyBorder="1" applyAlignment="1" applyProtection="1">
      <alignment horizontal="center" vertical="center"/>
    </xf>
    <xf numFmtId="58" fontId="1" fillId="3" borderId="44" xfId="54" applyNumberFormat="1" applyFont="1" applyFill="1" applyBorder="1" applyAlignment="1" applyProtection="1">
      <alignment horizontal="center" wrapText="1"/>
    </xf>
    <xf numFmtId="49" fontId="1" fillId="9" borderId="44" xfId="54" applyNumberFormat="1" applyFont="1" applyFill="1" applyBorder="1" applyAlignment="1" applyProtection="1">
      <alignment horizontal="center" wrapText="1"/>
    </xf>
    <xf numFmtId="184" fontId="1" fillId="3" borderId="44" xfId="54" applyNumberFormat="1" applyFont="1" applyFill="1" applyBorder="1" applyAlignment="1" applyProtection="1">
      <alignment horizontal="center" wrapText="1"/>
    </xf>
    <xf numFmtId="184" fontId="12" fillId="9" borderId="45" xfId="53" applyNumberFormat="1" applyFont="1" applyFill="1" applyBorder="1" applyAlignment="1" applyProtection="1">
      <alignment horizontal="center" wrapText="1"/>
    </xf>
    <xf numFmtId="0" fontId="12" fillId="10" borderId="61" xfId="54" applyFont="1" applyFill="1" applyBorder="1" applyAlignment="1" applyProtection="1">
      <alignment horizontal="left" vertical="top" wrapText="1"/>
    </xf>
    <xf numFmtId="0" fontId="11" fillId="0" borderId="62" xfId="53" applyFont="1" applyBorder="1" applyAlignment="1" applyProtection="1">
      <alignment vertical="center"/>
    </xf>
    <xf numFmtId="0" fontId="1" fillId="0" borderId="63" xfId="53" applyFont="1" applyBorder="1" applyAlignment="1" applyProtection="1">
      <alignment vertical="center"/>
    </xf>
    <xf numFmtId="0" fontId="1" fillId="0" borderId="64" xfId="53" applyFont="1" applyBorder="1" applyAlignment="1" applyProtection="1">
      <alignment vertical="center"/>
    </xf>
    <xf numFmtId="40" fontId="1" fillId="12" borderId="65" xfId="1" applyNumberFormat="1" applyFont="1" applyFill="1" applyBorder="1" applyAlignment="1" applyProtection="1">
      <alignment vertical="center"/>
    </xf>
    <xf numFmtId="40" fontId="1" fillId="3" borderId="66" xfId="1" applyNumberFormat="1" applyFont="1" applyFill="1" applyBorder="1" applyAlignment="1" applyProtection="1">
      <alignment vertical="center"/>
    </xf>
    <xf numFmtId="0" fontId="1" fillId="10" borderId="58" xfId="54" applyFont="1" applyFill="1" applyBorder="1" applyAlignment="1" applyProtection="1">
      <alignment horizontal="left" vertical="top" wrapText="1"/>
    </xf>
    <xf numFmtId="0" fontId="11" fillId="12" borderId="67" xfId="51" applyFont="1" applyFill="1" applyBorder="1" applyAlignment="1" applyProtection="1">
      <alignment vertical="center"/>
    </xf>
    <xf numFmtId="0" fontId="1" fillId="12" borderId="68" xfId="51" applyFont="1" applyFill="1" applyBorder="1" applyAlignment="1" applyProtection="1">
      <alignment vertical="center"/>
    </xf>
    <xf numFmtId="0" fontId="1" fillId="12" borderId="80" xfId="51" applyFont="1" applyFill="1" applyBorder="1" applyAlignment="1" applyProtection="1">
      <alignment vertical="center"/>
    </xf>
    <xf numFmtId="40" fontId="1" fillId="9" borderId="51" xfId="1" applyNumberFormat="1" applyFont="1" applyFill="1" applyBorder="1" applyAlignment="1" applyProtection="1">
      <alignment vertical="center"/>
    </xf>
    <xf numFmtId="40" fontId="1" fillId="2" borderId="70" xfId="4" applyNumberFormat="1" applyFont="1" applyFill="1" applyBorder="1" applyAlignment="1" applyProtection="1">
      <alignment vertical="center"/>
    </xf>
    <xf numFmtId="0" fontId="1" fillId="10" borderId="0" xfId="54" applyFont="1" applyFill="1" applyAlignment="1" applyProtection="1">
      <alignment horizontal="left" vertical="top" wrapText="1"/>
    </xf>
    <xf numFmtId="0" fontId="1" fillId="11" borderId="72" xfId="53" applyFont="1" applyFill="1" applyBorder="1" applyAlignment="1" applyProtection="1">
      <alignment horizontal="center" vertical="center"/>
    </xf>
    <xf numFmtId="0" fontId="1" fillId="0" borderId="81" xfId="51" applyFont="1" applyBorder="1" applyAlignment="1" applyProtection="1">
      <alignment horizontal="center" vertical="center"/>
    </xf>
    <xf numFmtId="0" fontId="1" fillId="9" borderId="82" xfId="53" applyFont="1" applyFill="1" applyBorder="1" applyAlignment="1" applyProtection="1">
      <alignment vertical="center" wrapText="1"/>
    </xf>
    <xf numFmtId="49" fontId="1" fillId="2" borderId="82" xfId="53" applyNumberFormat="1" applyFont="1" applyFill="1" applyBorder="1" applyAlignment="1" applyProtection="1">
      <alignment vertical="center" wrapText="1" shrinkToFit="1"/>
    </xf>
    <xf numFmtId="40" fontId="1" fillId="0" borderId="82" xfId="1" applyNumberFormat="1" applyFont="1" applyFill="1" applyBorder="1" applyAlignment="1" applyProtection="1">
      <alignment vertical="center"/>
    </xf>
    <xf numFmtId="40" fontId="1" fillId="0" borderId="83" xfId="1" applyNumberFormat="1" applyFont="1" applyFill="1" applyBorder="1" applyAlignment="1" applyProtection="1">
      <alignment vertical="center"/>
    </xf>
    <xf numFmtId="40" fontId="1" fillId="9" borderId="82" xfId="1" applyNumberFormat="1" applyFont="1" applyFill="1" applyBorder="1" applyAlignment="1" applyProtection="1">
      <alignment vertical="center"/>
    </xf>
    <xf numFmtId="0" fontId="1" fillId="0" borderId="82" xfId="54" applyFont="1" applyBorder="1" applyAlignment="1" applyProtection="1">
      <alignment horizontal="left" vertical="top" wrapText="1"/>
    </xf>
    <xf numFmtId="0" fontId="1" fillId="0" borderId="84" xfId="51" applyFont="1" applyBorder="1" applyAlignment="1" applyProtection="1">
      <alignment horizontal="center" vertical="center"/>
    </xf>
    <xf numFmtId="0" fontId="1" fillId="9" borderId="6" xfId="53" applyFont="1" applyFill="1" applyBorder="1" applyAlignment="1" applyProtection="1">
      <alignment vertical="center" wrapText="1"/>
    </xf>
    <xf numFmtId="40" fontId="1" fillId="0" borderId="4" xfId="1" applyNumberFormat="1" applyFont="1" applyFill="1" applyBorder="1" applyAlignment="1" applyProtection="1">
      <alignment vertical="center"/>
    </xf>
    <xf numFmtId="40" fontId="1" fillId="9" borderId="4" xfId="1" applyNumberFormat="1" applyFont="1" applyFill="1" applyBorder="1" applyAlignment="1" applyProtection="1">
      <alignment vertical="center"/>
    </xf>
    <xf numFmtId="40" fontId="1" fillId="0" borderId="6" xfId="1" applyNumberFormat="1" applyFont="1" applyFill="1" applyBorder="1" applyAlignment="1" applyProtection="1">
      <alignment vertical="center"/>
    </xf>
    <xf numFmtId="0" fontId="1" fillId="0" borderId="6" xfId="53" applyFont="1" applyBorder="1" applyAlignment="1" applyProtection="1">
      <alignment vertical="center" wrapText="1"/>
    </xf>
    <xf numFmtId="40" fontId="1" fillId="0" borderId="85" xfId="1" applyNumberFormat="1" applyFont="1" applyFill="1" applyBorder="1" applyAlignment="1" applyProtection="1">
      <alignment vertical="center"/>
    </xf>
    <xf numFmtId="40" fontId="14" fillId="0" borderId="4" xfId="1" applyNumberFormat="1" applyFont="1" applyFill="1" applyBorder="1" applyAlignment="1" applyProtection="1">
      <alignment vertical="center"/>
    </xf>
    <xf numFmtId="40" fontId="14" fillId="0" borderId="1" xfId="1" applyNumberFormat="1" applyFont="1" applyFill="1" applyBorder="1" applyAlignment="1" applyProtection="1">
      <alignment vertical="center"/>
    </xf>
    <xf numFmtId="176" fontId="1" fillId="0" borderId="4" xfId="53" applyNumberFormat="1" applyFont="1" applyBorder="1" applyAlignment="1" applyProtection="1">
      <alignment horizontal="center" vertical="center"/>
    </xf>
    <xf numFmtId="193" fontId="1" fillId="0" borderId="4" xfId="52" applyNumberFormat="1" applyBorder="1" applyAlignment="1" applyProtection="1">
      <alignment vertical="center" wrapText="1"/>
    </xf>
    <xf numFmtId="40" fontId="1" fillId="0" borderId="1" xfId="1" applyNumberFormat="1" applyFont="1" applyFill="1" applyBorder="1" applyAlignment="1" applyProtection="1">
      <alignment vertical="center"/>
    </xf>
    <xf numFmtId="40" fontId="14" fillId="0" borderId="5" xfId="1" applyNumberFormat="1" applyFont="1" applyFill="1" applyBorder="1" applyAlignment="1" applyProtection="1">
      <alignment vertical="center"/>
    </xf>
    <xf numFmtId="40" fontId="14" fillId="0" borderId="86" xfId="1" applyNumberFormat="1" applyFont="1" applyFill="1" applyBorder="1" applyAlignment="1" applyProtection="1">
      <alignment vertical="center"/>
    </xf>
    <xf numFmtId="49" fontId="1" fillId="0" borderId="5" xfId="53" applyNumberFormat="1" applyFont="1" applyBorder="1" applyAlignment="1" applyProtection="1">
      <alignment vertical="center" shrinkToFit="1"/>
    </xf>
    <xf numFmtId="176" fontId="1" fillId="0" borderId="5" xfId="53" applyNumberFormat="1" applyFont="1" applyBorder="1" applyAlignment="1" applyProtection="1">
      <alignment horizontal="center" vertical="center"/>
    </xf>
    <xf numFmtId="185" fontId="1" fillId="0" borderId="87" xfId="52" applyNumberFormat="1" applyBorder="1" applyAlignment="1" applyProtection="1">
      <alignment horizontal="center" vertical="center" wrapText="1"/>
    </xf>
    <xf numFmtId="49" fontId="14" fillId="0" borderId="87" xfId="53" applyNumberFormat="1" applyFont="1" applyBorder="1" applyAlignment="1" applyProtection="1">
      <alignment vertical="center" wrapText="1"/>
    </xf>
    <xf numFmtId="176" fontId="14" fillId="0" borderId="87" xfId="53" applyNumberFormat="1" applyFont="1" applyBorder="1" applyAlignment="1" applyProtection="1">
      <alignment horizontal="center" vertical="center"/>
    </xf>
    <xf numFmtId="49" fontId="1" fillId="0" borderId="87" xfId="53" applyNumberFormat="1" applyFont="1" applyBorder="1" applyAlignment="1" applyProtection="1">
      <alignment vertical="center" shrinkToFit="1"/>
    </xf>
    <xf numFmtId="49" fontId="1" fillId="2" borderId="88" xfId="53" applyNumberFormat="1" applyFont="1" applyFill="1" applyBorder="1" applyAlignment="1" applyProtection="1">
      <alignment vertical="center" shrinkToFit="1"/>
    </xf>
    <xf numFmtId="40" fontId="14" fillId="0" borderId="87" xfId="1" applyNumberFormat="1" applyFont="1" applyFill="1" applyBorder="1" applyAlignment="1" applyProtection="1">
      <alignment vertical="center"/>
    </xf>
    <xf numFmtId="40" fontId="19" fillId="0" borderId="87" xfId="1" applyNumberFormat="1" applyFont="1" applyFill="1" applyBorder="1" applyAlignment="1" applyProtection="1">
      <alignment vertical="center"/>
    </xf>
    <xf numFmtId="40" fontId="1" fillId="9" borderId="87" xfId="1" applyNumberFormat="1" applyFont="1" applyFill="1" applyBorder="1" applyAlignment="1" applyProtection="1">
      <alignment vertical="center"/>
    </xf>
    <xf numFmtId="0" fontId="1" fillId="0" borderId="87" xfId="53" applyFont="1" applyBorder="1" applyAlignment="1" applyProtection="1">
      <alignment vertical="center" wrapText="1"/>
    </xf>
    <xf numFmtId="0" fontId="9" fillId="3" borderId="34" xfId="53" applyFont="1" applyFill="1" applyBorder="1" applyAlignment="1" applyProtection="1">
      <alignment vertical="center"/>
    </xf>
    <xf numFmtId="0" fontId="9" fillId="3" borderId="35" xfId="51" applyFont="1" applyFill="1" applyBorder="1" applyAlignment="1" applyProtection="1">
      <alignment vertical="center"/>
    </xf>
    <xf numFmtId="0" fontId="10" fillId="2" borderId="37" xfId="53" applyFont="1" applyFill="1" applyBorder="1" applyProtection="1"/>
    <xf numFmtId="184" fontId="1" fillId="3" borderId="39" xfId="53" applyNumberFormat="1" applyFont="1" applyFill="1" applyBorder="1" applyAlignment="1" applyProtection="1">
      <alignment vertical="center"/>
    </xf>
    <xf numFmtId="49" fontId="9" fillId="0" borderId="33" xfId="53" applyNumberFormat="1" applyFont="1" applyBorder="1" applyAlignment="1" applyProtection="1">
      <alignment vertical="center"/>
    </xf>
    <xf numFmtId="0" fontId="18" fillId="0" borderId="44" xfId="0" applyFont="1" applyFill="1" applyBorder="1" applyAlignment="1" applyProtection="1">
      <alignment vertical="center"/>
    </xf>
    <xf numFmtId="176" fontId="1" fillId="0" borderId="0" xfId="53" applyNumberFormat="1" applyFont="1" applyAlignment="1" applyProtection="1">
      <alignment horizontal="center"/>
    </xf>
    <xf numFmtId="40" fontId="1" fillId="9" borderId="69" xfId="1" applyNumberFormat="1" applyFont="1" applyFill="1" applyBorder="1" applyAlignment="1" applyProtection="1">
      <alignment vertical="center"/>
    </xf>
    <xf numFmtId="0" fontId="1" fillId="10" borderId="66" xfId="54" applyFont="1" applyFill="1" applyBorder="1" applyAlignment="1" applyProtection="1">
      <alignment horizontal="left" vertical="top" wrapText="1"/>
    </xf>
    <xf numFmtId="0" fontId="1" fillId="0" borderId="6" xfId="52" applyBorder="1" applyAlignment="1" applyProtection="1">
      <alignment horizontal="left" vertical="center" wrapText="1"/>
    </xf>
    <xf numFmtId="0" fontId="1" fillId="0" borderId="89" xfId="53" applyFont="1" applyBorder="1" applyAlignment="1" applyProtection="1">
      <alignment vertical="center" wrapText="1"/>
    </xf>
    <xf numFmtId="0" fontId="1" fillId="0" borderId="90" xfId="53" applyFont="1" applyBorder="1" applyAlignment="1" applyProtection="1">
      <alignment vertical="center" wrapText="1"/>
    </xf>
    <xf numFmtId="0" fontId="1" fillId="0" borderId="3" xfId="53" applyFont="1" applyBorder="1" applyAlignment="1" applyProtection="1">
      <alignment vertical="center" wrapText="1"/>
    </xf>
    <xf numFmtId="0" fontId="1" fillId="0" borderId="74" xfId="53" applyFont="1" applyBorder="1" applyAlignment="1" applyProtection="1">
      <alignment vertical="center" wrapText="1" shrinkToFit="1"/>
    </xf>
    <xf numFmtId="49" fontId="1" fillId="0" borderId="6" xfId="53" applyNumberFormat="1" applyFont="1" applyBorder="1" applyAlignment="1" applyProtection="1">
      <alignment vertical="center" shrinkToFit="1"/>
    </xf>
    <xf numFmtId="0" fontId="1" fillId="0" borderId="91" xfId="51" applyFont="1" applyBorder="1" applyAlignment="1" applyProtection="1">
      <alignment horizontal="center" vertical="center"/>
    </xf>
    <xf numFmtId="0" fontId="1" fillId="0" borderId="87" xfId="52" applyBorder="1" applyAlignment="1" applyProtection="1">
      <alignment vertical="center" wrapText="1"/>
    </xf>
    <xf numFmtId="176" fontId="1" fillId="0" borderId="87" xfId="52" applyNumberFormat="1" applyBorder="1" applyAlignment="1" applyProtection="1">
      <alignment horizontal="center" vertical="center"/>
    </xf>
    <xf numFmtId="0" fontId="1" fillId="9" borderId="88" xfId="53" applyFont="1" applyFill="1" applyBorder="1" applyAlignment="1" applyProtection="1">
      <alignment vertical="center" wrapText="1"/>
    </xf>
    <xf numFmtId="49" fontId="1" fillId="0" borderId="88" xfId="53" applyNumberFormat="1" applyFont="1" applyBorder="1" applyAlignment="1" applyProtection="1">
      <alignment vertical="center" shrinkToFit="1"/>
    </xf>
    <xf numFmtId="0" fontId="1" fillId="0" borderId="88" xfId="52" applyBorder="1" applyAlignment="1" applyProtection="1">
      <alignment horizontal="left" vertical="center" wrapText="1"/>
    </xf>
    <xf numFmtId="40" fontId="1" fillId="0" borderId="87" xfId="1" applyNumberFormat="1" applyFont="1" applyFill="1" applyBorder="1" applyAlignment="1" applyProtection="1">
      <alignment vertical="center"/>
    </xf>
    <xf numFmtId="0" fontId="1" fillId="0" borderId="92" xfId="53" applyFont="1" applyBorder="1" applyAlignment="1" applyProtection="1">
      <alignment vertical="center" wrapText="1" shrinkToFit="1"/>
    </xf>
    <xf numFmtId="58" fontId="1" fillId="0" borderId="0" xfId="53" applyNumberFormat="1" applyFont="1" applyProtection="1"/>
    <xf numFmtId="58" fontId="1" fillId="2" borderId="7" xfId="60" applyNumberFormat="1" applyFont="1" applyFill="1" applyBorder="1" applyAlignment="1" applyProtection="1" quotePrefix="1">
      <alignment horizontal="centerContinuous" vertical="center"/>
      <protection locked="0"/>
    </xf>
  </cellXfs>
  <cellStyles count="61">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標準_CashBook日本語 (1)" xfId="49"/>
    <cellStyle name="標準_005-CashBook English Ver1_2" xfId="50"/>
    <cellStyle name="標準_004-CashBook(出納帳）日本語 Ver1_2(1)" xfId="51"/>
    <cellStyle name="Normal_CashBook (PSbank) 2" xfId="52"/>
    <cellStyle name="標準_JA対応の出納帳" xfId="53"/>
    <cellStyle name="標準_入力フォーマット" xfId="54"/>
    <cellStyle name="Comma 10 2" xfId="55"/>
    <cellStyle name="Normal_CashBook (PSbank)" xfId="56"/>
    <cellStyle name="Comma [0] 2" xfId="57"/>
    <cellStyle name="Comma [0] 2 2" xfId="58"/>
    <cellStyle name="標準_収支報告書Final" xfId="59"/>
    <cellStyle name="標準_作成例03_04TunisiaTS-P20会計報告" xfId="60"/>
  </cellStyles>
  <dxfs count="18">
    <dxf>
      <font>
        <strike val="0"/>
        <color rgb="FFFF000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3.xml"/><Relationship Id="rId8" Type="http://schemas.openxmlformats.org/officeDocument/2006/relationships/externalLink" Target="externalLinks/externalLink2.xml"/><Relationship Id="rId7" Type="http://schemas.openxmlformats.org/officeDocument/2006/relationships/externalLink" Target="externalLinks/externalLink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externalLink" Target="externalLinks/externalLink4.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xdr:col>
      <xdr:colOff>637910</xdr:colOff>
      <xdr:row>3</xdr:row>
      <xdr:rowOff>8202</xdr:rowOff>
    </xdr:from>
    <xdr:to>
      <xdr:col>2</xdr:col>
      <xdr:colOff>1161785</xdr:colOff>
      <xdr:row>4</xdr:row>
      <xdr:rowOff>27253</xdr:rowOff>
    </xdr:to>
    <xdr:sp>
      <xdr:nvSpPr>
        <xdr:cNvPr id="8" name="Oval 8"/>
        <xdr:cNvSpPr>
          <a:spLocks noChangeArrowheads="1"/>
        </xdr:cNvSpPr>
      </xdr:nvSpPr>
      <xdr:spPr>
        <a:xfrm>
          <a:off x="1856740" y="1102995"/>
          <a:ext cx="523875" cy="209550"/>
        </a:xfrm>
        <a:prstGeom prst="ellipse">
          <a:avLst/>
        </a:prstGeom>
        <a:noFill/>
        <a:ln w="9525">
          <a:solidFill>
            <a:srgbClr val="000000"/>
          </a:solidFill>
          <a:round/>
        </a:ln>
      </xdr:spPr>
    </xdr:sp>
    <xdr:clientData/>
  </xdr:twoCellAnchor>
  <xdr:twoCellAnchor>
    <xdr:from>
      <xdr:col>8</xdr:col>
      <xdr:colOff>559594</xdr:colOff>
      <xdr:row>0</xdr:row>
      <xdr:rowOff>333374</xdr:rowOff>
    </xdr:from>
    <xdr:to>
      <xdr:col>9</xdr:col>
      <xdr:colOff>414618</xdr:colOff>
      <xdr:row>2</xdr:row>
      <xdr:rowOff>140494</xdr:rowOff>
    </xdr:to>
    <xdr:sp>
      <xdr:nvSpPr>
        <xdr:cNvPr id="9" name="TextBox 3"/>
        <xdr:cNvSpPr txBox="1"/>
      </xdr:nvSpPr>
      <xdr:spPr>
        <a:xfrm>
          <a:off x="8655685" y="332740"/>
          <a:ext cx="1607185" cy="7124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sz="4800">
              <a:latin typeface="Times New Roman" panose="02020603050405020304" pitchFamily="18" charset="0"/>
              <a:cs typeface="Times New Roman" panose="02020603050405020304" pitchFamily="18" charset="0"/>
            </a:rPr>
            <a:t>OCG</a:t>
          </a:r>
          <a:endParaRPr lang="en-US" sz="4800">
            <a:latin typeface="Times New Roman" panose="02020603050405020304" pitchFamily="18"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2</xdr:col>
      <xdr:colOff>28575</xdr:colOff>
      <xdr:row>2</xdr:row>
      <xdr:rowOff>200025</xdr:rowOff>
    </xdr:from>
    <xdr:to>
      <xdr:col>2</xdr:col>
      <xdr:colOff>438150</xdr:colOff>
      <xdr:row>3</xdr:row>
      <xdr:rowOff>171450</xdr:rowOff>
    </xdr:to>
    <xdr:sp>
      <xdr:nvSpPr>
        <xdr:cNvPr id="6" name="Oval 13"/>
        <xdr:cNvSpPr>
          <a:spLocks noChangeArrowheads="1"/>
        </xdr:cNvSpPr>
      </xdr:nvSpPr>
      <xdr:spPr>
        <a:xfrm>
          <a:off x="1247775" y="1095375"/>
          <a:ext cx="409575" cy="171450"/>
        </a:xfrm>
        <a:prstGeom prst="ellipse">
          <a:avLst/>
        </a:prstGeom>
        <a:noFill/>
        <a:ln w="9525">
          <a:solidFill>
            <a:srgbClr val="000000"/>
          </a:solidFill>
          <a:round/>
        </a:ln>
      </xdr:spPr>
    </xdr:sp>
    <xdr:clientData/>
  </xdr:twoCellAnchor>
  <xdr:twoCellAnchor>
    <xdr:from>
      <xdr:col>8</xdr:col>
      <xdr:colOff>647699</xdr:colOff>
      <xdr:row>0</xdr:row>
      <xdr:rowOff>159544</xdr:rowOff>
    </xdr:from>
    <xdr:to>
      <xdr:col>9</xdr:col>
      <xdr:colOff>493059</xdr:colOff>
      <xdr:row>2</xdr:row>
      <xdr:rowOff>145258</xdr:rowOff>
    </xdr:to>
    <xdr:sp>
      <xdr:nvSpPr>
        <xdr:cNvPr id="7" name="TextBox 3"/>
        <xdr:cNvSpPr txBox="1"/>
      </xdr:nvSpPr>
      <xdr:spPr>
        <a:xfrm>
          <a:off x="8762365" y="159385"/>
          <a:ext cx="1607820" cy="8902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sz="4800">
              <a:latin typeface="Times New Roman" panose="02020603050405020304" pitchFamily="18" charset="0"/>
              <a:cs typeface="Times New Roman" panose="02020603050405020304" pitchFamily="18" charset="0"/>
            </a:rPr>
            <a:t>OCG</a:t>
          </a:r>
          <a:endParaRPr lang="en-US" sz="4800">
            <a:latin typeface="Times New Roman" panose="02020603050405020304" pitchFamily="18"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2</xdr:col>
      <xdr:colOff>571500</xdr:colOff>
      <xdr:row>3</xdr:row>
      <xdr:rowOff>28575</xdr:rowOff>
    </xdr:from>
    <xdr:to>
      <xdr:col>2</xdr:col>
      <xdr:colOff>1114425</xdr:colOff>
      <xdr:row>3</xdr:row>
      <xdr:rowOff>200025</xdr:rowOff>
    </xdr:to>
    <xdr:sp>
      <xdr:nvSpPr>
        <xdr:cNvPr id="2" name="Oval 8"/>
        <xdr:cNvSpPr>
          <a:spLocks noChangeArrowheads="1"/>
        </xdr:cNvSpPr>
      </xdr:nvSpPr>
      <xdr:spPr>
        <a:xfrm>
          <a:off x="1790700" y="1109980"/>
          <a:ext cx="542925" cy="161925"/>
        </a:xfrm>
        <a:prstGeom prst="ellipse">
          <a:avLst/>
        </a:prstGeom>
        <a:noFill/>
        <a:ln w="9525">
          <a:solidFill>
            <a:srgbClr val="000000"/>
          </a:solidFill>
          <a:round/>
        </a:ln>
      </xdr:spPr>
    </xdr:sp>
    <xdr:clientData/>
  </xdr:twoCellAnchor>
  <xdr:twoCellAnchor>
    <xdr:from>
      <xdr:col>8</xdr:col>
      <xdr:colOff>150015</xdr:colOff>
      <xdr:row>0</xdr:row>
      <xdr:rowOff>342900</xdr:rowOff>
    </xdr:from>
    <xdr:to>
      <xdr:col>9</xdr:col>
      <xdr:colOff>67235</xdr:colOff>
      <xdr:row>3</xdr:row>
      <xdr:rowOff>14287</xdr:rowOff>
    </xdr:to>
    <xdr:sp>
      <xdr:nvSpPr>
        <xdr:cNvPr id="3" name="TextBox 2"/>
        <xdr:cNvSpPr txBox="1"/>
      </xdr:nvSpPr>
      <xdr:spPr>
        <a:xfrm>
          <a:off x="8255635" y="342900"/>
          <a:ext cx="1678940" cy="752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sz="4800">
              <a:latin typeface="Times New Roman" panose="02020603050405020304" pitchFamily="18" charset="0"/>
              <a:cs typeface="Times New Roman" panose="02020603050405020304" pitchFamily="18" charset="0"/>
            </a:rPr>
            <a:t>OCG</a:t>
          </a:r>
          <a:endParaRPr lang="en-US" sz="4800">
            <a:latin typeface="Times New Roman" panose="02020603050405020304" pitchFamily="18" charset="0"/>
            <a:cs typeface="Times New Roman" panose="02020603050405020304" pitchFamily="18" charset="0"/>
          </a:endParaRPr>
        </a:p>
      </xdr:txBody>
    </xdr:sp>
    <xdr:clientData/>
  </xdr:twoCellAnchor>
  <xdr:twoCellAnchor>
    <xdr:from>
      <xdr:col>2</xdr:col>
      <xdr:colOff>571500</xdr:colOff>
      <xdr:row>3</xdr:row>
      <xdr:rowOff>28575</xdr:rowOff>
    </xdr:from>
    <xdr:to>
      <xdr:col>2</xdr:col>
      <xdr:colOff>1114425</xdr:colOff>
      <xdr:row>3</xdr:row>
      <xdr:rowOff>200025</xdr:rowOff>
    </xdr:to>
    <xdr:sp>
      <xdr:nvSpPr>
        <xdr:cNvPr id="4" name="Oval 8"/>
        <xdr:cNvSpPr>
          <a:spLocks noChangeArrowheads="1"/>
        </xdr:cNvSpPr>
      </xdr:nvSpPr>
      <xdr:spPr>
        <a:xfrm>
          <a:off x="1790700" y="1109980"/>
          <a:ext cx="542925" cy="161925"/>
        </a:xfrm>
        <a:prstGeom prst="ellipse">
          <a:avLst/>
        </a:prstGeom>
        <a:noFill/>
        <a:ln w="9525">
          <a:solidFill>
            <a:srgbClr val="000000"/>
          </a:solidFill>
          <a:round/>
        </a:ln>
      </xdr:spPr>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2</xdr:col>
      <xdr:colOff>0</xdr:colOff>
      <xdr:row>2</xdr:row>
      <xdr:rowOff>171450</xdr:rowOff>
    </xdr:from>
    <xdr:to>
      <xdr:col>2</xdr:col>
      <xdr:colOff>495300</xdr:colOff>
      <xdr:row>3</xdr:row>
      <xdr:rowOff>180975</xdr:rowOff>
    </xdr:to>
    <xdr:sp>
      <xdr:nvSpPr>
        <xdr:cNvPr id="2" name="Oval 8"/>
        <xdr:cNvSpPr>
          <a:spLocks noChangeArrowheads="1"/>
        </xdr:cNvSpPr>
      </xdr:nvSpPr>
      <xdr:spPr>
        <a:xfrm>
          <a:off x="1209675" y="1076325"/>
          <a:ext cx="495300" cy="200025"/>
        </a:xfrm>
        <a:prstGeom prst="ellipse">
          <a:avLst/>
        </a:prstGeom>
        <a:noFill/>
        <a:ln w="9525">
          <a:solidFill>
            <a:srgbClr val="000000"/>
          </a:solidFill>
          <a:round/>
        </a:ln>
      </xdr:spPr>
    </xdr:sp>
    <xdr:clientData/>
  </xdr:twoCellAnchor>
  <xdr:twoCellAnchor>
    <xdr:from>
      <xdr:col>8</xdr:col>
      <xdr:colOff>466725</xdr:colOff>
      <xdr:row>0</xdr:row>
      <xdr:rowOff>257175</xdr:rowOff>
    </xdr:from>
    <xdr:to>
      <xdr:col>9</xdr:col>
      <xdr:colOff>437029</xdr:colOff>
      <xdr:row>2</xdr:row>
      <xdr:rowOff>150019</xdr:rowOff>
    </xdr:to>
    <xdr:sp>
      <xdr:nvSpPr>
        <xdr:cNvPr id="3" name="TextBox 3"/>
        <xdr:cNvSpPr txBox="1"/>
      </xdr:nvSpPr>
      <xdr:spPr>
        <a:xfrm>
          <a:off x="8543925" y="257175"/>
          <a:ext cx="1732280" cy="797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sz="4800">
              <a:latin typeface="Times New Roman" panose="02020603050405020304" pitchFamily="18" charset="0"/>
              <a:cs typeface="Times New Roman" panose="02020603050405020304" pitchFamily="18" charset="0"/>
            </a:rPr>
            <a:t>OCG</a:t>
          </a:r>
          <a:endParaRPr lang="en-US" sz="4800">
            <a:latin typeface="Times New Roman" panose="02020603050405020304" pitchFamily="18" charset="0"/>
            <a:cs typeface="Times New Roman" panose="02020603050405020304" pitchFamily="18" charset="0"/>
          </a:endParaRPr>
        </a:p>
      </xdr:txBody>
    </xdr: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0</xdr:col>
      <xdr:colOff>10160</xdr:colOff>
      <xdr:row>1</xdr:row>
      <xdr:rowOff>66675</xdr:rowOff>
    </xdr:from>
    <xdr:to>
      <xdr:col>0</xdr:col>
      <xdr:colOff>1617345</xdr:colOff>
      <xdr:row>5</xdr:row>
      <xdr:rowOff>64770</xdr:rowOff>
    </xdr:to>
    <xdr:sp>
      <xdr:nvSpPr>
        <xdr:cNvPr id="3" name="TextBox 3"/>
        <xdr:cNvSpPr txBox="1"/>
      </xdr:nvSpPr>
      <xdr:spPr>
        <a:xfrm>
          <a:off x="10160" y="228600"/>
          <a:ext cx="1607185" cy="7124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sz="4800">
              <a:latin typeface="Times New Roman" panose="02020603050405020304" pitchFamily="18" charset="0"/>
              <a:cs typeface="Times New Roman" panose="02020603050405020304" pitchFamily="18" charset="0"/>
            </a:rPr>
            <a:t>OCG</a:t>
          </a:r>
          <a:endParaRPr lang="en-US" sz="4800">
            <a:latin typeface="Times New Roman" panose="02020603050405020304" pitchFamily="18" charset="0"/>
            <a:cs typeface="Times New Roman" panose="02020603050405020304" pitchFamily="18"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2.203\accounting\BP%20File\BP6-Financial%20Report\V3-Accounting%20Report%20in%20Yearly%20file\2018\Philippines\Accounting%20Report%201811\665R7268\665R7268-1811HQ.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lmercader\My%20Documents\wp%202008\Accounting%20Report%20200901\Voucher%20form-North%20Extension%20USDBank.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X:\GB%20Files\Accounting%20Report\202604%20(2026.03.10-2026.04.08)\9665R7268\9665R7268-2604%20-%20MNL.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GADGETCORE\Downloads\9665R7268-2604V1_HQ.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cover"/>
      <sheetName val="currentsituation"/>
      <sheetName val="staffing"/>
      <sheetName val="criteria"/>
      <sheetName val="Cash balance (2)"/>
      <sheetName val="Cash balance"/>
      <sheetName val="summary"/>
      <sheetName val="financing"/>
      <sheetName val="CashBook (US$bank)"/>
      <sheetName val="CashBook (US$cash) "/>
      <sheetName val="CashBook (PSbank)"/>
      <sheetName val="CashBook (PScash)"/>
      <sheetName val="Account Code"/>
      <sheetName val="Transition Table"/>
      <sheetName val="Fund Request"/>
      <sheetName val="Taxes"/>
      <sheetName val="Validation 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GL"/>
      <sheetName val="Guidelines"/>
      <sheetName val="Vat"/>
      <sheetName val="Line 1, 2"/>
      <sheetName val="Line 3,4"/>
      <sheetName val="Line 5,6"/>
      <sheetName val="Line 7,8"/>
      <sheetName val="Line 9,10"/>
      <sheetName val="Line 11,12"/>
      <sheetName val="Line 13,14"/>
      <sheetName val="Line 15,16"/>
      <sheetName val="Line 17,18"/>
      <sheetName val="Line 19,20"/>
      <sheetName val="Line 21,22"/>
      <sheetName val="Line 23,24"/>
      <sheetName val="Line 25,26"/>
      <sheetName val="Line 27,28"/>
      <sheetName val="Line 29,30"/>
      <sheetName val="Line 31,32"/>
      <sheetName val="Line 33,34"/>
      <sheetName val="Line 35,36"/>
      <sheetName val="Line 37,38"/>
      <sheetName val="Line 39,40"/>
      <sheetName val="Line 41,42"/>
      <sheetName val="Line 43,44"/>
      <sheetName val="Line 45,46"/>
      <sheetName val="Line 47,48"/>
      <sheetName val="Line 49,50"/>
      <sheetName val="Transition 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cover"/>
      <sheetName val="currentsituation"/>
      <sheetName val="Cash balance (2)"/>
      <sheetName val="staffing"/>
      <sheetName val="Cash balance"/>
      <sheetName val="summary"/>
      <sheetName val="Fund Request"/>
      <sheetName val="financing"/>
      <sheetName val="CashBook (US$bank)"/>
      <sheetName val="CashBook (US$cash) "/>
      <sheetName val="CashBook (PSbank)"/>
      <sheetName val="CashBook (PScash)"/>
      <sheetName val="Sheet4"/>
      <sheetName val="criteria"/>
      <sheetName val="Account Code"/>
      <sheetName val="Transition Table"/>
      <sheetName val="Check Not Shown"/>
      <sheetName val="Sheet1"/>
      <sheetName val="Taxes_updated"/>
      <sheetName val="031A Employee Advances"/>
      <sheetName val="CREDITORS"/>
      <sheetName val="Sheet5"/>
      <sheetName val="Sheet3"/>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3">
          <cell r="A3">
            <v>0</v>
          </cell>
          <cell r="B3" t="str">
            <v>FUND TRANSFER BETWEEN BANK A/C AND CASH</v>
          </cell>
        </row>
        <row r="4">
          <cell r="A4">
            <v>12</v>
          </cell>
          <cell r="B4" t="str">
            <v>ADVANCE FOR OVERSEAS OFFICE</v>
          </cell>
        </row>
        <row r="5">
          <cell r="A5">
            <v>31</v>
          </cell>
          <cell r="B5" t="str">
            <v>EMPLOYEE ADVANCE</v>
          </cell>
        </row>
        <row r="6">
          <cell r="A6">
            <v>32</v>
          </cell>
          <cell r="B6" t="str">
            <v>ADVANCE PAID</v>
          </cell>
        </row>
        <row r="7">
          <cell r="A7">
            <v>205</v>
          </cell>
          <cell r="B7" t="str">
            <v>CONTRA TEMPORARY RECEIPT</v>
          </cell>
        </row>
        <row r="8">
          <cell r="A8">
            <v>220</v>
          </cell>
          <cell r="B8" t="str">
            <v>ADVANCES RECEIPT FROM CLIENT</v>
          </cell>
        </row>
        <row r="9">
          <cell r="A9">
            <v>402</v>
          </cell>
          <cell r="B9" t="str">
            <v>FEE FOR SUBCONSULTANT AGREEMENT</v>
          </cell>
        </row>
        <row r="10">
          <cell r="A10">
            <v>403</v>
          </cell>
          <cell r="B10" t="str">
            <v>MATERIALS ON CONTRACT</v>
          </cell>
        </row>
        <row r="11">
          <cell r="A11">
            <v>404</v>
          </cell>
          <cell r="B11" t="str">
            <v>OVERSEAS ALLOWANCE</v>
          </cell>
        </row>
        <row r="12">
          <cell r="A12">
            <v>405</v>
          </cell>
          <cell r="B12" t="str">
            <v>TRAVELING EXPENSE</v>
          </cell>
        </row>
        <row r="13">
          <cell r="A13">
            <v>508</v>
          </cell>
          <cell r="B13" t="str">
            <v>ALL OTHER SUBCONSULTANT FEE AND SUBCONTRACT COST</v>
          </cell>
        </row>
        <row r="14">
          <cell r="A14">
            <v>509</v>
          </cell>
          <cell r="B14" t="str">
            <v>FEE FOR SUBCONSULTANT WHICH IS OUT OF THE SCOPE OF NET REVENUE OF PCI</v>
          </cell>
        </row>
        <row r="15">
          <cell r="A15">
            <v>511</v>
          </cell>
          <cell r="B15" t="str">
            <v>OFFICE SALARY</v>
          </cell>
        </row>
        <row r="16">
          <cell r="A16">
            <v>512</v>
          </cell>
          <cell r="B16" t="str">
            <v>COPY &amp; PRINTING</v>
          </cell>
        </row>
        <row r="17">
          <cell r="A17">
            <v>513</v>
          </cell>
          <cell r="B17" t="str">
            <v>TRAVEL EXPENSE</v>
          </cell>
        </row>
        <row r="18">
          <cell r="A18">
            <v>514</v>
          </cell>
          <cell r="B18" t="str">
            <v>ENTERTAINMENT(tax-nondeductible)</v>
          </cell>
        </row>
        <row r="19">
          <cell r="A19">
            <v>515</v>
          </cell>
          <cell r="B19" t="str">
            <v>OFFICE SUPPLY</v>
          </cell>
        </row>
        <row r="20">
          <cell r="A20">
            <v>516</v>
          </cell>
          <cell r="B20" t="str">
            <v>OFFICE EQUIPMENT</v>
          </cell>
        </row>
        <row r="21">
          <cell r="A21">
            <v>517</v>
          </cell>
          <cell r="B21" t="str">
            <v>BOOKS &amp; SUBSCRIPTION</v>
          </cell>
        </row>
        <row r="22">
          <cell r="A22">
            <v>518</v>
          </cell>
          <cell r="B22" t="str">
            <v>TAX &amp; DUTY</v>
          </cell>
        </row>
        <row r="23">
          <cell r="A23">
            <v>519</v>
          </cell>
          <cell r="B23" t="str">
            <v>WATER,GAS &amp; ELECTRICITY</v>
          </cell>
        </row>
        <row r="24">
          <cell r="A24">
            <v>520</v>
          </cell>
          <cell r="B24" t="str">
            <v>REPAIR &amp; MAINTENANCE</v>
          </cell>
        </row>
        <row r="25">
          <cell r="A25">
            <v>521</v>
          </cell>
          <cell r="B25" t="str">
            <v>TRANSPORTATION</v>
          </cell>
        </row>
        <row r="26">
          <cell r="A26">
            <v>522</v>
          </cell>
          <cell r="B26" t="str">
            <v>TELEPHONE &amp; TELEX</v>
          </cell>
        </row>
        <row r="27">
          <cell r="A27">
            <v>523</v>
          </cell>
          <cell r="B27" t="str">
            <v>MEMBERSHIP FEE</v>
          </cell>
        </row>
        <row r="28">
          <cell r="A28">
            <v>524</v>
          </cell>
          <cell r="B28" t="str">
            <v>MEETING EXPENSE</v>
          </cell>
        </row>
        <row r="29">
          <cell r="A29">
            <v>525</v>
          </cell>
          <cell r="B29" t="str">
            <v>FEE &amp; CHARGE</v>
          </cell>
        </row>
        <row r="30">
          <cell r="A30">
            <v>526</v>
          </cell>
          <cell r="B30" t="str">
            <v>INSURANCE</v>
          </cell>
        </row>
        <row r="31">
          <cell r="A31">
            <v>527</v>
          </cell>
          <cell r="B31" t="str">
            <v>EQUIPMENT RENTAL CHARGE</v>
          </cell>
        </row>
        <row r="32">
          <cell r="A32">
            <v>529</v>
          </cell>
          <cell r="B32" t="str">
            <v>WELFARE EXPENSE</v>
          </cell>
        </row>
        <row r="33">
          <cell r="A33">
            <v>530</v>
          </cell>
          <cell r="B33" t="str">
            <v>ADVERTISING EXPENSE</v>
          </cell>
        </row>
        <row r="34">
          <cell r="A34">
            <v>531</v>
          </cell>
          <cell r="B34" t="str">
            <v>OFFICE &amp; HOUSE RENTAL</v>
          </cell>
        </row>
        <row r="35">
          <cell r="A35">
            <v>532</v>
          </cell>
          <cell r="B35" t="str">
            <v>GUARANTEE EXPENSE</v>
          </cell>
        </row>
        <row r="36">
          <cell r="A36">
            <v>533</v>
          </cell>
          <cell r="B36" t="str">
            <v>RESEARCH EXPENSE</v>
          </cell>
        </row>
        <row r="37">
          <cell r="A37">
            <v>534</v>
          </cell>
          <cell r="B37" t="str">
            <v>MISCELLANEOUS EXPENSE</v>
          </cell>
        </row>
        <row r="38">
          <cell r="A38">
            <v>535</v>
          </cell>
          <cell r="B38" t="str">
            <v>DONATION</v>
          </cell>
        </row>
        <row r="39">
          <cell r="A39">
            <v>536</v>
          </cell>
          <cell r="B39" t="str">
            <v>ENTERTAINMENT(tax-deductible)</v>
          </cell>
        </row>
        <row r="40">
          <cell r="A40">
            <v>551</v>
          </cell>
          <cell r="B40" t="str">
            <v>INTEREST EARNED</v>
          </cell>
        </row>
        <row r="41">
          <cell r="A41">
            <v>556</v>
          </cell>
          <cell r="B41" t="str">
            <v>MISCELLANEOUS INCOME</v>
          </cell>
        </row>
        <row r="42">
          <cell r="A42">
            <v>601</v>
          </cell>
          <cell r="B42" t="str">
            <v>INTEREST PAID</v>
          </cell>
        </row>
        <row r="43">
          <cell r="A43">
            <v>999</v>
          </cell>
          <cell r="B43" t="str">
            <v>CURRENCY EXCHANGE</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cover"/>
      <sheetName val="currentsituation"/>
      <sheetName val="Cash balance (2)"/>
      <sheetName val="staffing"/>
      <sheetName val="Cash balance"/>
      <sheetName val="summary"/>
      <sheetName val="Fund Request"/>
      <sheetName val="financing"/>
      <sheetName val="CashBook (US$bank)"/>
      <sheetName val="CashBook (US$cash) "/>
      <sheetName val="CashBook (PSbank)"/>
      <sheetName val="CashBook (PScash)"/>
      <sheetName val="Sheet4"/>
      <sheetName val="criteria"/>
      <sheetName val="Account Code"/>
      <sheetName val="Transition Table"/>
      <sheetName val="Check Not Shown"/>
      <sheetName val="Sheet1"/>
      <sheetName val="Taxes_updated"/>
      <sheetName val="031A Employee Advances"/>
      <sheetName val="CREDITORS"/>
      <sheetName val="Sheet5"/>
      <sheetName val="Sheet3"/>
      <sheetName val="Sheet2"/>
    </sheetNames>
    <sheetDataSet>
      <sheetData sheetId="0">
        <row r="17">
          <cell r="B17">
            <v>46120</v>
          </cell>
        </row>
      </sheetData>
      <sheetData sheetId="1"/>
      <sheetData sheetId="2"/>
      <sheetData sheetId="3"/>
      <sheetData sheetId="4"/>
      <sheetData sheetId="5"/>
      <sheetData sheetId="6"/>
      <sheetData sheetId="7"/>
      <sheetData sheetId="8">
        <row r="2">
          <cell r="C2" t="str">
            <v>9665R7268</v>
          </cell>
        </row>
      </sheetData>
      <sheetData sheetId="9"/>
      <sheetData sheetId="10"/>
      <sheetData sheetId="11"/>
      <sheetData sheetId="12"/>
      <sheetData sheetId="13"/>
      <sheetData sheetId="14">
        <row r="3">
          <cell r="A3">
            <v>0</v>
          </cell>
          <cell r="B3" t="str">
            <v>FUND TRANSFER BETWEEN BANK A/C AND CASH</v>
          </cell>
        </row>
        <row r="4">
          <cell r="A4">
            <v>12</v>
          </cell>
          <cell r="B4" t="str">
            <v>ADVANCE FOR OVERSEAS OFFICE</v>
          </cell>
        </row>
        <row r="5">
          <cell r="A5">
            <v>31</v>
          </cell>
          <cell r="B5" t="str">
            <v>EMPLOYEE ADVANCE</v>
          </cell>
        </row>
        <row r="6">
          <cell r="A6">
            <v>32</v>
          </cell>
          <cell r="B6" t="str">
            <v>ADVANCE PAID</v>
          </cell>
        </row>
        <row r="7">
          <cell r="A7">
            <v>205</v>
          </cell>
          <cell r="B7" t="str">
            <v>CONTRA TEMPORARY RECEIPT</v>
          </cell>
        </row>
        <row r="8">
          <cell r="A8">
            <v>220</v>
          </cell>
          <cell r="B8" t="str">
            <v>ADVANCES RECEIPT FROM CLIENT</v>
          </cell>
        </row>
        <row r="9">
          <cell r="A9">
            <v>402</v>
          </cell>
          <cell r="B9" t="str">
            <v>FEE FOR SUBCONSULTANT AGREEMENT</v>
          </cell>
        </row>
        <row r="10">
          <cell r="A10">
            <v>403</v>
          </cell>
          <cell r="B10" t="str">
            <v>MATERIALS ON CONTRACT</v>
          </cell>
        </row>
        <row r="11">
          <cell r="A11">
            <v>404</v>
          </cell>
          <cell r="B11" t="str">
            <v>OVERSEAS ALLOWANCE</v>
          </cell>
        </row>
        <row r="12">
          <cell r="A12">
            <v>405</v>
          </cell>
          <cell r="B12" t="str">
            <v>TRAVELING EXPENSE</v>
          </cell>
        </row>
        <row r="13">
          <cell r="A13">
            <v>508</v>
          </cell>
          <cell r="B13" t="str">
            <v>ALL OTHER SUBCONSULTANT FEE AND SUBCONTRACT COST</v>
          </cell>
        </row>
        <row r="14">
          <cell r="A14">
            <v>509</v>
          </cell>
          <cell r="B14" t="str">
            <v>FEE FOR SUBCONSULTANT WHICH IS OUT OF THE SCOPE OF NET REVENUE OF PCI</v>
          </cell>
        </row>
        <row r="15">
          <cell r="A15">
            <v>511</v>
          </cell>
          <cell r="B15" t="str">
            <v>OFFICE SALARY</v>
          </cell>
        </row>
        <row r="16">
          <cell r="A16">
            <v>512</v>
          </cell>
          <cell r="B16" t="str">
            <v>COPY &amp; PRINTING</v>
          </cell>
        </row>
        <row r="17">
          <cell r="A17">
            <v>513</v>
          </cell>
          <cell r="B17" t="str">
            <v>TRAVEL EXPENSE</v>
          </cell>
        </row>
        <row r="18">
          <cell r="A18">
            <v>514</v>
          </cell>
          <cell r="B18" t="str">
            <v>ENTERTAINMENT(tax-nondeductible)</v>
          </cell>
        </row>
        <row r="19">
          <cell r="A19">
            <v>515</v>
          </cell>
          <cell r="B19" t="str">
            <v>OFFICE SUPPLY</v>
          </cell>
        </row>
        <row r="20">
          <cell r="A20">
            <v>516</v>
          </cell>
          <cell r="B20" t="str">
            <v>OFFICE EQUIPMENT</v>
          </cell>
        </row>
        <row r="21">
          <cell r="A21">
            <v>517</v>
          </cell>
          <cell r="B21" t="str">
            <v>BOOKS &amp; SUBSCRIPTION</v>
          </cell>
        </row>
        <row r="22">
          <cell r="A22">
            <v>518</v>
          </cell>
          <cell r="B22" t="str">
            <v>TAX &amp; DUTY</v>
          </cell>
        </row>
        <row r="23">
          <cell r="A23">
            <v>519</v>
          </cell>
          <cell r="B23" t="str">
            <v>WATER,GAS &amp; ELECTRICITY</v>
          </cell>
        </row>
        <row r="24">
          <cell r="A24">
            <v>520</v>
          </cell>
          <cell r="B24" t="str">
            <v>REPAIR &amp; MAINTENANCE</v>
          </cell>
        </row>
        <row r="25">
          <cell r="A25">
            <v>521</v>
          </cell>
          <cell r="B25" t="str">
            <v>TRANSPORTATION</v>
          </cell>
        </row>
        <row r="26">
          <cell r="A26">
            <v>522</v>
          </cell>
          <cell r="B26" t="str">
            <v>TELEPHONE &amp; TELEX</v>
          </cell>
        </row>
        <row r="27">
          <cell r="A27">
            <v>523</v>
          </cell>
          <cell r="B27" t="str">
            <v>MEMBERSHIP FEE</v>
          </cell>
        </row>
        <row r="28">
          <cell r="A28">
            <v>524</v>
          </cell>
          <cell r="B28" t="str">
            <v>MEETING EXPENSE</v>
          </cell>
        </row>
        <row r="29">
          <cell r="A29">
            <v>525</v>
          </cell>
          <cell r="B29" t="str">
            <v>FEE &amp; CHARGE</v>
          </cell>
        </row>
        <row r="30">
          <cell r="A30">
            <v>526</v>
          </cell>
          <cell r="B30" t="str">
            <v>INSURANCE</v>
          </cell>
        </row>
        <row r="31">
          <cell r="A31">
            <v>527</v>
          </cell>
          <cell r="B31" t="str">
            <v>EQUIPMENT RENTAL CHARGE</v>
          </cell>
        </row>
        <row r="32">
          <cell r="A32">
            <v>529</v>
          </cell>
          <cell r="B32" t="str">
            <v>WELFARE EXPENSE</v>
          </cell>
        </row>
        <row r="33">
          <cell r="A33">
            <v>530</v>
          </cell>
          <cell r="B33" t="str">
            <v>ADVERTISING EXPENSE</v>
          </cell>
        </row>
        <row r="34">
          <cell r="A34">
            <v>531</v>
          </cell>
          <cell r="B34" t="str">
            <v>OFFICE &amp; HOUSE RENTAL</v>
          </cell>
        </row>
        <row r="35">
          <cell r="A35">
            <v>532</v>
          </cell>
          <cell r="B35" t="str">
            <v>GUARANTEE EXPENSE</v>
          </cell>
        </row>
        <row r="36">
          <cell r="A36">
            <v>533</v>
          </cell>
          <cell r="B36" t="str">
            <v>RESEARCH EXPENSE</v>
          </cell>
        </row>
        <row r="37">
          <cell r="A37">
            <v>534</v>
          </cell>
          <cell r="B37" t="str">
            <v>MISCELLANEOUS EXPENSE</v>
          </cell>
        </row>
        <row r="38">
          <cell r="A38">
            <v>535</v>
          </cell>
          <cell r="B38" t="str">
            <v>DONATION</v>
          </cell>
        </row>
        <row r="39">
          <cell r="A39">
            <v>536</v>
          </cell>
          <cell r="B39" t="str">
            <v>ENTERTAINMENT(tax-deductible)</v>
          </cell>
        </row>
        <row r="40">
          <cell r="A40">
            <v>551</v>
          </cell>
          <cell r="B40" t="str">
            <v>INTEREST EARNED</v>
          </cell>
        </row>
        <row r="41">
          <cell r="A41">
            <v>556</v>
          </cell>
          <cell r="B41" t="str">
            <v>MISCELLANEOUS INCOME</v>
          </cell>
        </row>
        <row r="42">
          <cell r="A42">
            <v>601</v>
          </cell>
          <cell r="B42" t="str">
            <v>INTEREST PAID</v>
          </cell>
        </row>
        <row r="43">
          <cell r="A43">
            <v>999</v>
          </cell>
          <cell r="B43" t="str">
            <v>CURRENCY EXCHANGE</v>
          </cell>
        </row>
      </sheetData>
      <sheetData sheetId="15"/>
      <sheetData sheetId="16"/>
      <sheetData sheetId="17"/>
      <sheetData sheetId="18"/>
      <sheetData sheetId="19"/>
      <sheetData sheetId="20">
        <row r="1">
          <cell r="A1" t="str">
            <v>CREDITORS MASTERLIST</v>
          </cell>
        </row>
        <row r="2">
          <cell r="A2" t="str">
            <v>Code</v>
          </cell>
          <cell r="B2" t="str">
            <v>Name</v>
          </cell>
        </row>
        <row r="3">
          <cell r="A3">
            <v>0</v>
          </cell>
        </row>
        <row r="4">
          <cell r="A4">
            <v>2</v>
          </cell>
          <cell r="B4" t="str">
            <v>Tax creditor</v>
          </cell>
        </row>
        <row r="5">
          <cell r="A5" t="str">
            <v>1000</v>
          </cell>
          <cell r="B5" t="str">
            <v>Office Personnel</v>
          </cell>
        </row>
        <row r="6">
          <cell r="A6" t="str">
            <v>1001</v>
          </cell>
          <cell r="B6" t="str">
            <v>Sudhir C. Kumar</v>
          </cell>
        </row>
        <row r="7">
          <cell r="A7" t="str">
            <v>1002</v>
          </cell>
          <cell r="B7" t="str">
            <v>Thevar Kalyana Sundaram</v>
          </cell>
        </row>
        <row r="8">
          <cell r="A8" t="str">
            <v>1003</v>
          </cell>
          <cell r="B8" t="str">
            <v>Hikaru Katayama</v>
          </cell>
        </row>
        <row r="9">
          <cell r="A9" t="str">
            <v>1004</v>
          </cell>
          <cell r="B9" t="str">
            <v>Jorge Muller</v>
          </cell>
        </row>
        <row r="10">
          <cell r="A10" t="str">
            <v>1005</v>
          </cell>
          <cell r="B10" t="str">
            <v>Ma. Lourdes Falcutela Mercader-Hilario</v>
          </cell>
        </row>
        <row r="11">
          <cell r="A11" t="str">
            <v>1006</v>
          </cell>
          <cell r="B11" t="str">
            <v>Vincent Porrazzo</v>
          </cell>
        </row>
        <row r="12">
          <cell r="A12" t="str">
            <v>1007</v>
          </cell>
          <cell r="B12" t="str">
            <v>Ichiro Miyakoshi</v>
          </cell>
        </row>
        <row r="13">
          <cell r="A13" t="str">
            <v>1008</v>
          </cell>
          <cell r="B13" t="str">
            <v>Roberto Mirabueno</v>
          </cell>
        </row>
        <row r="14">
          <cell r="A14" t="str">
            <v>1009</v>
          </cell>
          <cell r="B14" t="str">
            <v>Rex Salvador Munsayac</v>
          </cell>
        </row>
        <row r="15">
          <cell r="A15" t="str">
            <v>1010</v>
          </cell>
          <cell r="B15" t="str">
            <v>Alexander Aguilar</v>
          </cell>
        </row>
        <row r="16">
          <cell r="A16" t="str">
            <v>1011</v>
          </cell>
          <cell r="B16" t="str">
            <v>Abraham Ada</v>
          </cell>
        </row>
        <row r="17">
          <cell r="A17" t="str">
            <v>1012</v>
          </cell>
          <cell r="B17" t="str">
            <v>Ma. Jasmine Abiera Balinas</v>
          </cell>
        </row>
        <row r="18">
          <cell r="A18" t="str">
            <v>1013</v>
          </cell>
          <cell r="B18" t="str">
            <v>Ricardo T. Del Rosario</v>
          </cell>
        </row>
        <row r="19">
          <cell r="A19" t="str">
            <v>1014</v>
          </cell>
          <cell r="B19" t="str">
            <v>Jim Greenhill</v>
          </cell>
        </row>
        <row r="20">
          <cell r="A20" t="str">
            <v>1015</v>
          </cell>
          <cell r="B20" t="str">
            <v>Ariel Miranda</v>
          </cell>
        </row>
        <row r="21">
          <cell r="A21" t="str">
            <v>1016</v>
          </cell>
          <cell r="B21" t="str">
            <v>Susan Narra</v>
          </cell>
        </row>
        <row r="22">
          <cell r="A22" t="str">
            <v>1017</v>
          </cell>
          <cell r="B22" t="str">
            <v>Andrew James Burnside</v>
          </cell>
        </row>
        <row r="23">
          <cell r="A23" t="str">
            <v>1018</v>
          </cell>
          <cell r="B23" t="str">
            <v>Renneza Arroyo</v>
          </cell>
        </row>
        <row r="24">
          <cell r="A24" t="str">
            <v>1019</v>
          </cell>
          <cell r="B24" t="str">
            <v>Emalyn De Castro</v>
          </cell>
        </row>
        <row r="25">
          <cell r="A25" t="str">
            <v>1020</v>
          </cell>
          <cell r="B25" t="str">
            <v>Claralene Valencia</v>
          </cell>
        </row>
        <row r="26">
          <cell r="A26" t="str">
            <v>1021</v>
          </cell>
        </row>
        <row r="27">
          <cell r="A27" t="str">
            <v>1022</v>
          </cell>
          <cell r="B27" t="str">
            <v>Masato Suzuki</v>
          </cell>
        </row>
        <row r="28">
          <cell r="A28" t="str">
            <v>1023</v>
          </cell>
          <cell r="B28" t="str">
            <v>Mr. Ogawa</v>
          </cell>
        </row>
        <row r="29">
          <cell r="A29" t="str">
            <v>1024</v>
          </cell>
          <cell r="B29" t="str">
            <v>Mr. Shimodaira</v>
          </cell>
        </row>
        <row r="30">
          <cell r="A30" t="str">
            <v>1025</v>
          </cell>
          <cell r="B30" t="str">
            <v>Hiroaki Higashionna</v>
          </cell>
        </row>
        <row r="31">
          <cell r="A31" t="str">
            <v>1026</v>
          </cell>
          <cell r="B31" t="str">
            <v>Trevor Kenneth Strong</v>
          </cell>
        </row>
        <row r="32">
          <cell r="A32" t="str">
            <v>1027</v>
          </cell>
          <cell r="B32" t="str">
            <v>Katsuyuki Saito</v>
          </cell>
        </row>
        <row r="33">
          <cell r="A33" t="str">
            <v>1028</v>
          </cell>
          <cell r="B33" t="str">
            <v>Mr. Kano</v>
          </cell>
        </row>
        <row r="34">
          <cell r="A34" t="str">
            <v>1029</v>
          </cell>
          <cell r="B34" t="str">
            <v>Jovy Alac</v>
          </cell>
        </row>
        <row r="35">
          <cell r="A35" t="str">
            <v>1030</v>
          </cell>
          <cell r="B35" t="str">
            <v>Yukio Toyoshima</v>
          </cell>
        </row>
        <row r="36">
          <cell r="A36" t="str">
            <v>1031</v>
          </cell>
          <cell r="B36" t="str">
            <v>Isao Hino</v>
          </cell>
        </row>
        <row r="37">
          <cell r="A37" t="str">
            <v>1032</v>
          </cell>
          <cell r="B37" t="str">
            <v>Tsunemi Nagata</v>
          </cell>
        </row>
        <row r="38">
          <cell r="A38" t="str">
            <v>1033</v>
          </cell>
          <cell r="B38" t="str">
            <v>Romeo Jayme Chin</v>
          </cell>
        </row>
        <row r="39">
          <cell r="A39" t="str">
            <v>1034</v>
          </cell>
          <cell r="B39" t="str">
            <v>Mr. I. Hara</v>
          </cell>
        </row>
        <row r="40">
          <cell r="A40" t="str">
            <v>1035</v>
          </cell>
          <cell r="B40" t="str">
            <v>Atsushi Harada</v>
          </cell>
        </row>
        <row r="41">
          <cell r="A41" t="str">
            <v>1036</v>
          </cell>
          <cell r="B41" t="str">
            <v>Kathleen Grace Barba</v>
          </cell>
        </row>
        <row r="42">
          <cell r="A42" t="str">
            <v>1037</v>
          </cell>
        </row>
        <row r="43">
          <cell r="A43" t="str">
            <v>1038</v>
          </cell>
        </row>
        <row r="44">
          <cell r="A44" t="str">
            <v>1039</v>
          </cell>
          <cell r="B44" t="str">
            <v>Leizl Ann Abellar</v>
          </cell>
        </row>
        <row r="45">
          <cell r="A45" t="str">
            <v>1040</v>
          </cell>
          <cell r="B45" t="str">
            <v>Yanglee Marcelo Calimag</v>
          </cell>
        </row>
        <row r="46">
          <cell r="A46" t="str">
            <v>1041</v>
          </cell>
          <cell r="B46" t="str">
            <v>Kenji Hasegawa</v>
          </cell>
        </row>
        <row r="47">
          <cell r="A47" t="str">
            <v>1042</v>
          </cell>
        </row>
        <row r="48">
          <cell r="A48" t="str">
            <v>1043</v>
          </cell>
          <cell r="B48" t="str">
            <v>TBN</v>
          </cell>
        </row>
        <row r="49">
          <cell r="A49" t="str">
            <v>1044</v>
          </cell>
        </row>
        <row r="50">
          <cell r="A50" t="str">
            <v>1045</v>
          </cell>
          <cell r="B50" t="str">
            <v>Mary Jean Cabase Quilantang</v>
          </cell>
        </row>
        <row r="51">
          <cell r="A51" t="str">
            <v>1046</v>
          </cell>
          <cell r="B51" t="str">
            <v>Kazumasa Yamaoka</v>
          </cell>
        </row>
        <row r="52">
          <cell r="A52" t="str">
            <v>1047</v>
          </cell>
          <cell r="B52" t="str">
            <v>Masato Fujimoto (Yoshihiko Uchikura)</v>
          </cell>
        </row>
        <row r="53">
          <cell r="A53" t="str">
            <v>1048</v>
          </cell>
        </row>
        <row r="54">
          <cell r="A54" t="str">
            <v>1049</v>
          </cell>
        </row>
        <row r="55">
          <cell r="A55" t="str">
            <v>1050</v>
          </cell>
        </row>
        <row r="56">
          <cell r="A56" t="str">
            <v>1051</v>
          </cell>
          <cell r="B56" t="str">
            <v>Ferlene Olpindo</v>
          </cell>
        </row>
        <row r="57">
          <cell r="A57" t="str">
            <v>1052</v>
          </cell>
          <cell r="B57" t="str">
            <v>Anne Lyn Gonzales Bustria</v>
          </cell>
        </row>
        <row r="58">
          <cell r="A58" t="str">
            <v>1053</v>
          </cell>
        </row>
        <row r="59">
          <cell r="A59" t="str">
            <v>1054</v>
          </cell>
        </row>
        <row r="60">
          <cell r="A60" t="str">
            <v>1055</v>
          </cell>
          <cell r="B60" t="str">
            <v>Jerlyn Tala Hermosilla</v>
          </cell>
        </row>
        <row r="61">
          <cell r="A61" t="str">
            <v>1056</v>
          </cell>
        </row>
        <row r="62">
          <cell r="A62" t="str">
            <v>1057</v>
          </cell>
          <cell r="B62" t="str">
            <v>Aileen Andaya</v>
          </cell>
        </row>
        <row r="63">
          <cell r="A63" t="str">
            <v>1058</v>
          </cell>
          <cell r="B63" t="str">
            <v>Yuji Asano</v>
          </cell>
        </row>
        <row r="64">
          <cell r="A64" t="str">
            <v>1059</v>
          </cell>
          <cell r="B64" t="str">
            <v>Hiroyuki Morimoto</v>
          </cell>
        </row>
        <row r="65">
          <cell r="A65" t="str">
            <v>1060</v>
          </cell>
          <cell r="B65" t="str">
            <v>Haruo Takeda</v>
          </cell>
        </row>
        <row r="66">
          <cell r="A66" t="str">
            <v>1061</v>
          </cell>
          <cell r="B66" t="str">
            <v>Miharu Hosono</v>
          </cell>
        </row>
        <row r="67">
          <cell r="A67" t="str">
            <v>1062</v>
          </cell>
          <cell r="B67" t="str">
            <v>Kazunori Inoue</v>
          </cell>
        </row>
        <row r="68">
          <cell r="A68" t="str">
            <v>1063</v>
          </cell>
          <cell r="B68" t="str">
            <v>Nobuyoshi Kawai</v>
          </cell>
        </row>
        <row r="69">
          <cell r="A69" t="str">
            <v>1064</v>
          </cell>
          <cell r="B69" t="str">
            <v>Tomoko Hirota</v>
          </cell>
        </row>
        <row r="70">
          <cell r="A70" t="str">
            <v>1065</v>
          </cell>
          <cell r="B70" t="str">
            <v>Keisuke Imada</v>
          </cell>
        </row>
        <row r="71">
          <cell r="A71" t="str">
            <v>1066</v>
          </cell>
          <cell r="B71" t="str">
            <v>Romina Lyn Lao Dela Cruz</v>
          </cell>
        </row>
        <row r="72">
          <cell r="A72" t="str">
            <v>1067</v>
          </cell>
          <cell r="B72" t="str">
            <v>Atsuhiko Yamamoto</v>
          </cell>
        </row>
        <row r="73">
          <cell r="A73" t="str">
            <v>1068</v>
          </cell>
          <cell r="B73" t="str">
            <v>Katsuyuki Morimata</v>
          </cell>
        </row>
        <row r="74">
          <cell r="A74" t="str">
            <v>1069</v>
          </cell>
          <cell r="B74" t="str">
            <v>Gary McDonald</v>
          </cell>
        </row>
        <row r="75">
          <cell r="A75" t="str">
            <v>1070</v>
          </cell>
          <cell r="B75" t="str">
            <v>Fritz Stingelin</v>
          </cell>
        </row>
        <row r="76">
          <cell r="A76" t="str">
            <v>1071</v>
          </cell>
          <cell r="B76" t="str">
            <v>Peter O' Driscoll</v>
          </cell>
        </row>
        <row r="77">
          <cell r="A77" t="str">
            <v>1072</v>
          </cell>
          <cell r="B77" t="str">
            <v>Yoshimi Masaki</v>
          </cell>
        </row>
        <row r="78">
          <cell r="A78" t="str">
            <v>1073</v>
          </cell>
          <cell r="B78" t="str">
            <v>Ryoko Arai</v>
          </cell>
        </row>
        <row r="79">
          <cell r="A79" t="str">
            <v>1074</v>
          </cell>
          <cell r="B79" t="str">
            <v>Anjelo Lat</v>
          </cell>
        </row>
        <row r="80">
          <cell r="A80" t="str">
            <v>1075</v>
          </cell>
          <cell r="B80" t="str">
            <v>Maxine Gregorio</v>
          </cell>
        </row>
        <row r="81">
          <cell r="A81" t="str">
            <v>1076</v>
          </cell>
          <cell r="B81" t="str">
            <v>Jesus Vergara</v>
          </cell>
        </row>
        <row r="82">
          <cell r="A82" t="str">
            <v>1077</v>
          </cell>
          <cell r="B82" t="str">
            <v>Yota Kitade</v>
          </cell>
        </row>
        <row r="83">
          <cell r="A83" t="str">
            <v>1078</v>
          </cell>
        </row>
        <row r="84">
          <cell r="A84" t="str">
            <v>1079</v>
          </cell>
        </row>
        <row r="85">
          <cell r="A85" t="str">
            <v>1080</v>
          </cell>
        </row>
        <row r="86">
          <cell r="A86" t="str">
            <v>1081</v>
          </cell>
        </row>
        <row r="87">
          <cell r="A87" t="str">
            <v>1082</v>
          </cell>
        </row>
        <row r="88">
          <cell r="A88" t="str">
            <v>1083</v>
          </cell>
        </row>
        <row r="89">
          <cell r="A89" t="str">
            <v>1084</v>
          </cell>
        </row>
        <row r="90">
          <cell r="A90" t="str">
            <v>1085</v>
          </cell>
        </row>
        <row r="91">
          <cell r="A91" t="str">
            <v>1086</v>
          </cell>
        </row>
        <row r="92">
          <cell r="A92" t="str">
            <v>1118</v>
          </cell>
          <cell r="B92" t="str">
            <v>Chellasamy Murugaboopathi</v>
          </cell>
        </row>
        <row r="93">
          <cell r="A93" t="str">
            <v>1119</v>
          </cell>
          <cell r="B93" t="str">
            <v>Takashi Sato</v>
          </cell>
        </row>
        <row r="94">
          <cell r="A94" t="str">
            <v>1120</v>
          </cell>
          <cell r="B94" t="str">
            <v>Masatoshi Momose</v>
          </cell>
        </row>
        <row r="95">
          <cell r="A95" t="str">
            <v>1121</v>
          </cell>
        </row>
        <row r="96">
          <cell r="A96" t="str">
            <v>1122</v>
          </cell>
        </row>
        <row r="97">
          <cell r="A97" t="str">
            <v>1123</v>
          </cell>
        </row>
        <row r="98">
          <cell r="A98" t="str">
            <v>1124</v>
          </cell>
        </row>
        <row r="99">
          <cell r="A99" t="str">
            <v>1125</v>
          </cell>
        </row>
        <row r="100">
          <cell r="A100" t="str">
            <v>1126</v>
          </cell>
        </row>
        <row r="101">
          <cell r="A101" t="str">
            <v>1127</v>
          </cell>
        </row>
        <row r="102">
          <cell r="A102" t="str">
            <v>1128</v>
          </cell>
        </row>
        <row r="103">
          <cell r="A103" t="str">
            <v>1129</v>
          </cell>
        </row>
        <row r="104">
          <cell r="A104" t="str">
            <v>1130</v>
          </cell>
        </row>
        <row r="105">
          <cell r="A105" t="str">
            <v>1131</v>
          </cell>
        </row>
        <row r="106">
          <cell r="A106" t="str">
            <v>1132</v>
          </cell>
        </row>
        <row r="107">
          <cell r="A107" t="str">
            <v>1133</v>
          </cell>
        </row>
        <row r="108">
          <cell r="A108" t="str">
            <v>1134</v>
          </cell>
        </row>
        <row r="109">
          <cell r="A109" t="str">
            <v>1135</v>
          </cell>
        </row>
        <row r="110">
          <cell r="A110" t="str">
            <v>1136</v>
          </cell>
        </row>
        <row r="111">
          <cell r="A111" t="str">
            <v>1137</v>
          </cell>
        </row>
        <row r="112">
          <cell r="A112" t="str">
            <v>1138</v>
          </cell>
        </row>
        <row r="113">
          <cell r="A113" t="str">
            <v>1139</v>
          </cell>
        </row>
        <row r="114">
          <cell r="A114" t="str">
            <v>1140</v>
          </cell>
        </row>
        <row r="115">
          <cell r="A115" t="str">
            <v>1141</v>
          </cell>
        </row>
        <row r="116">
          <cell r="A116" t="str">
            <v>1142</v>
          </cell>
        </row>
        <row r="117">
          <cell r="A117" t="str">
            <v>1143</v>
          </cell>
        </row>
        <row r="118">
          <cell r="A118" t="str">
            <v>1144</v>
          </cell>
        </row>
        <row r="119">
          <cell r="A119" t="str">
            <v>1145</v>
          </cell>
        </row>
        <row r="120">
          <cell r="A120" t="str">
            <v>1146</v>
          </cell>
        </row>
        <row r="121">
          <cell r="A121" t="str">
            <v>1147</v>
          </cell>
        </row>
        <row r="122">
          <cell r="A122" t="str">
            <v>1148</v>
          </cell>
        </row>
        <row r="123">
          <cell r="A123" t="str">
            <v>1149</v>
          </cell>
        </row>
        <row r="124">
          <cell r="A124" t="str">
            <v>1150</v>
          </cell>
        </row>
        <row r="125">
          <cell r="A125" t="str">
            <v>1151</v>
          </cell>
        </row>
        <row r="126">
          <cell r="A126" t="str">
            <v>1152</v>
          </cell>
        </row>
        <row r="127">
          <cell r="A127" t="str">
            <v>1153</v>
          </cell>
        </row>
        <row r="128">
          <cell r="A128" t="str">
            <v>1154</v>
          </cell>
        </row>
        <row r="129">
          <cell r="A129" t="str">
            <v>1155</v>
          </cell>
        </row>
        <row r="131">
          <cell r="A131" t="str">
            <v>2000</v>
          </cell>
          <cell r="B131" t="str">
            <v>NSTren Project Employees</v>
          </cell>
        </row>
        <row r="132">
          <cell r="A132" t="str">
            <v>2001</v>
          </cell>
          <cell r="B132" t="str">
            <v>Jovito Secuya</v>
          </cell>
        </row>
        <row r="133">
          <cell r="A133" t="str">
            <v>2002</v>
          </cell>
          <cell r="B133" t="str">
            <v>Nannete Reposar</v>
          </cell>
        </row>
        <row r="134">
          <cell r="A134" t="str">
            <v>2003</v>
          </cell>
          <cell r="B134" t="str">
            <v>Eugene Bravo</v>
          </cell>
        </row>
        <row r="135">
          <cell r="A135" t="str">
            <v>2004</v>
          </cell>
          <cell r="B135" t="str">
            <v>Carlo Rustia</v>
          </cell>
        </row>
        <row r="136">
          <cell r="A136" t="str">
            <v>2005</v>
          </cell>
          <cell r="B136" t="str">
            <v>Jesus Montefalcon</v>
          </cell>
        </row>
        <row r="137">
          <cell r="A137" t="str">
            <v>2006</v>
          </cell>
          <cell r="B137" t="str">
            <v>Ernesto P. Cruz</v>
          </cell>
        </row>
        <row r="138">
          <cell r="A138" t="str">
            <v>2007</v>
          </cell>
          <cell r="B138" t="str">
            <v>Manalo C. Estrella</v>
          </cell>
        </row>
        <row r="139">
          <cell r="A139" t="str">
            <v>2008</v>
          </cell>
          <cell r="B139" t="str">
            <v>Edgar D. Ebbay</v>
          </cell>
        </row>
        <row r="140">
          <cell r="A140" t="str">
            <v>2009</v>
          </cell>
          <cell r="B140" t="str">
            <v>Marc Anthony E. Cava</v>
          </cell>
        </row>
        <row r="141">
          <cell r="A141" t="str">
            <v>2010</v>
          </cell>
          <cell r="B141" t="str">
            <v>Nicholson V. Chu</v>
          </cell>
        </row>
        <row r="142">
          <cell r="A142" t="str">
            <v>2011</v>
          </cell>
          <cell r="B142" t="str">
            <v>John Jay DR. Benavidez</v>
          </cell>
        </row>
        <row r="143">
          <cell r="A143" t="str">
            <v>2012</v>
          </cell>
          <cell r="B143" t="str">
            <v>Michelle G. Zapanta</v>
          </cell>
        </row>
        <row r="144">
          <cell r="A144" t="str">
            <v>2013</v>
          </cell>
          <cell r="B144" t="str">
            <v>Mary Glory A. Solivio</v>
          </cell>
        </row>
        <row r="145">
          <cell r="A145" t="str">
            <v>2014</v>
          </cell>
          <cell r="B145" t="str">
            <v>Raul M. Cabantoc</v>
          </cell>
        </row>
        <row r="146">
          <cell r="A146" t="str">
            <v>2015</v>
          </cell>
          <cell r="B146" t="str">
            <v>Alberto M. Reyes</v>
          </cell>
        </row>
        <row r="147">
          <cell r="A147" t="str">
            <v>2016</v>
          </cell>
          <cell r="B147" t="str">
            <v>Nicodemus S. Bentulan</v>
          </cell>
        </row>
        <row r="148">
          <cell r="A148" t="str">
            <v>2017</v>
          </cell>
          <cell r="B148" t="str">
            <v>Alking Agustin Sacdalan</v>
          </cell>
        </row>
        <row r="149">
          <cell r="A149" t="str">
            <v>2018</v>
          </cell>
          <cell r="B149" t="str">
            <v>Melbert A. Setosta</v>
          </cell>
        </row>
        <row r="150">
          <cell r="A150" t="str">
            <v>2019</v>
          </cell>
          <cell r="B150" t="str">
            <v>Jocelyn Cuadra West</v>
          </cell>
        </row>
        <row r="151">
          <cell r="A151" t="str">
            <v>2020</v>
          </cell>
          <cell r="B151" t="str">
            <v>Pacardo, Peter Lasconia Jr.</v>
          </cell>
        </row>
        <row r="152">
          <cell r="A152" t="str">
            <v>2021</v>
          </cell>
          <cell r="B152" t="str">
            <v>Ferenc Dezsenyi</v>
          </cell>
        </row>
        <row r="153">
          <cell r="A153" t="str">
            <v>2022</v>
          </cell>
          <cell r="B153" t="str">
            <v>David George Hills</v>
          </cell>
        </row>
        <row r="154">
          <cell r="A154" t="str">
            <v>2023</v>
          </cell>
          <cell r="B154" t="str">
            <v>Laarni N. Cruz</v>
          </cell>
        </row>
        <row r="155">
          <cell r="A155" t="str">
            <v>2024</v>
          </cell>
          <cell r="B155" t="str">
            <v>David Maccallum Norris</v>
          </cell>
        </row>
        <row r="156">
          <cell r="A156" t="str">
            <v>2025</v>
          </cell>
          <cell r="B156" t="str">
            <v>Eamonn Peter Flaherty</v>
          </cell>
        </row>
        <row r="157">
          <cell r="A157" t="str">
            <v>2026</v>
          </cell>
          <cell r="B157" t="str">
            <v>Giulio Piroli</v>
          </cell>
        </row>
        <row r="158">
          <cell r="A158" t="str">
            <v>2027</v>
          </cell>
          <cell r="B158" t="str">
            <v>David King Chiu Cheung</v>
          </cell>
        </row>
        <row r="159">
          <cell r="A159" t="str">
            <v>2028</v>
          </cell>
          <cell r="B159" t="str">
            <v>Rodney Ainsworth</v>
          </cell>
        </row>
        <row r="160">
          <cell r="A160" t="str">
            <v>2029</v>
          </cell>
          <cell r="B160" t="str">
            <v>Stephen John Benford</v>
          </cell>
        </row>
        <row r="161">
          <cell r="A161" t="str">
            <v>2030</v>
          </cell>
          <cell r="B161" t="str">
            <v>Joji Ino</v>
          </cell>
        </row>
        <row r="162">
          <cell r="A162" t="str">
            <v>2031</v>
          </cell>
          <cell r="B162" t="str">
            <v>Kazutoshi Ohashi</v>
          </cell>
        </row>
        <row r="163">
          <cell r="A163" t="str">
            <v>2032</v>
          </cell>
          <cell r="B163" t="str">
            <v>Ramilo L. Briones</v>
          </cell>
        </row>
        <row r="164">
          <cell r="A164" t="str">
            <v>2033</v>
          </cell>
          <cell r="B164" t="str">
            <v>Catherine T. Lagan</v>
          </cell>
        </row>
        <row r="165">
          <cell r="A165" t="str">
            <v>2034</v>
          </cell>
          <cell r="B165" t="str">
            <v>Hubertus Robert de Kruyff andor Paulina Dethan</v>
          </cell>
        </row>
        <row r="166">
          <cell r="A166" t="str">
            <v>2035</v>
          </cell>
          <cell r="B166" t="str">
            <v>Melquiades A. Desabille</v>
          </cell>
        </row>
        <row r="167">
          <cell r="A167" t="str">
            <v>2036</v>
          </cell>
          <cell r="B167" t="str">
            <v>Ebenezer Busig</v>
          </cell>
        </row>
        <row r="168">
          <cell r="A168" t="str">
            <v>2037</v>
          </cell>
          <cell r="B168" t="str">
            <v>Sofronio Cervantes</v>
          </cell>
        </row>
        <row r="169">
          <cell r="A169" t="str">
            <v>2038</v>
          </cell>
          <cell r="B169" t="str">
            <v>Angelito O. Arjona</v>
          </cell>
        </row>
        <row r="170">
          <cell r="A170" t="str">
            <v>2039</v>
          </cell>
          <cell r="B170" t="str">
            <v>Stephen Lacey</v>
          </cell>
        </row>
        <row r="171">
          <cell r="A171" t="str">
            <v>2040</v>
          </cell>
          <cell r="B171" t="str">
            <v>Arthur De Castro</v>
          </cell>
        </row>
        <row r="172">
          <cell r="A172" t="str">
            <v>2041</v>
          </cell>
          <cell r="B172" t="str">
            <v>Rey Emmanuel Geronimo</v>
          </cell>
        </row>
        <row r="173">
          <cell r="A173" t="str">
            <v>2042</v>
          </cell>
          <cell r="B173" t="str">
            <v>Glicerio Gallardo II</v>
          </cell>
        </row>
        <row r="174">
          <cell r="A174" t="str">
            <v>2043</v>
          </cell>
          <cell r="B174" t="str">
            <v>Ronaldo Zatarain</v>
          </cell>
        </row>
        <row r="175">
          <cell r="A175" t="str">
            <v>2044</v>
          </cell>
          <cell r="B175" t="str">
            <v>Asterio Ranin</v>
          </cell>
        </row>
        <row r="176">
          <cell r="A176" t="str">
            <v>2045</v>
          </cell>
          <cell r="B176" t="str">
            <v>Winnie Ann Bulactial</v>
          </cell>
        </row>
        <row r="177">
          <cell r="A177" t="str">
            <v>2046</v>
          </cell>
          <cell r="B177" t="str">
            <v>Patrick Diaz</v>
          </cell>
        </row>
        <row r="178">
          <cell r="A178" t="str">
            <v>2047</v>
          </cell>
          <cell r="B178" t="str">
            <v>Maria Cherry A. Delos Reyes</v>
          </cell>
        </row>
        <row r="179">
          <cell r="A179" t="str">
            <v>2048</v>
          </cell>
          <cell r="B179" t="str">
            <v>Randel Lumba</v>
          </cell>
        </row>
        <row r="180">
          <cell r="A180" t="str">
            <v>2049</v>
          </cell>
          <cell r="B180" t="str">
            <v>Arjay M. Alvarez</v>
          </cell>
        </row>
        <row r="181">
          <cell r="A181" t="str">
            <v>2050</v>
          </cell>
          <cell r="B181" t="str">
            <v>Rey Kelley Galarpe</v>
          </cell>
        </row>
        <row r="182">
          <cell r="A182" t="str">
            <v>2051</v>
          </cell>
          <cell r="B182" t="str">
            <v>Reynaldo Agustin Jr.</v>
          </cell>
        </row>
        <row r="183">
          <cell r="A183" t="str">
            <v>2052</v>
          </cell>
          <cell r="B183" t="str">
            <v>Franklin Cascano</v>
          </cell>
        </row>
        <row r="184">
          <cell r="A184" t="str">
            <v>2053</v>
          </cell>
          <cell r="B184" t="str">
            <v>Cenon Vida</v>
          </cell>
        </row>
        <row r="185">
          <cell r="A185" t="str">
            <v>2054</v>
          </cell>
          <cell r="B185" t="str">
            <v>Wilfrido Montes</v>
          </cell>
        </row>
        <row r="186">
          <cell r="A186" t="str">
            <v>2055</v>
          </cell>
          <cell r="B186" t="str">
            <v>Adorable Jacinto</v>
          </cell>
        </row>
        <row r="187">
          <cell r="A187" t="str">
            <v>2056</v>
          </cell>
          <cell r="B187" t="str">
            <v>Ponce A. Inopiquez</v>
          </cell>
        </row>
        <row r="188">
          <cell r="A188" t="str">
            <v>2057</v>
          </cell>
          <cell r="B188" t="str">
            <v>Amante Cabotaje Jr.</v>
          </cell>
        </row>
        <row r="189">
          <cell r="A189" t="str">
            <v>2058</v>
          </cell>
          <cell r="B189" t="str">
            <v>Cristina Templo</v>
          </cell>
        </row>
        <row r="190">
          <cell r="A190" t="str">
            <v>2059</v>
          </cell>
          <cell r="B190" t="str">
            <v>Renato Friaz</v>
          </cell>
        </row>
        <row r="191">
          <cell r="A191" t="str">
            <v>2060</v>
          </cell>
          <cell r="B191" t="str">
            <v>Romulo M. Paredes</v>
          </cell>
        </row>
        <row r="192">
          <cell r="A192" t="str">
            <v>2061</v>
          </cell>
          <cell r="B192" t="str">
            <v>Manuel Lorenzo M. Baradero</v>
          </cell>
        </row>
        <row r="193">
          <cell r="A193" t="str">
            <v>2062</v>
          </cell>
          <cell r="B193" t="str">
            <v>Josephine Angeles</v>
          </cell>
        </row>
        <row r="194">
          <cell r="A194" t="str">
            <v>2063</v>
          </cell>
          <cell r="B194" t="str">
            <v>Annabelle Trinidad</v>
          </cell>
        </row>
        <row r="195">
          <cell r="A195" t="str">
            <v>2064</v>
          </cell>
          <cell r="B195" t="str">
            <v>Mark Michael Corpuz</v>
          </cell>
        </row>
        <row r="196">
          <cell r="A196" t="str">
            <v>2065</v>
          </cell>
          <cell r="B196" t="str">
            <v>Gerson Odono</v>
          </cell>
        </row>
        <row r="197">
          <cell r="A197" t="str">
            <v>2066</v>
          </cell>
          <cell r="B197" t="str">
            <v>Florante Lagmay</v>
          </cell>
        </row>
        <row r="198">
          <cell r="A198" t="str">
            <v>2067</v>
          </cell>
          <cell r="B198" t="str">
            <v>Reynaldo Cruz Jr.</v>
          </cell>
        </row>
        <row r="199">
          <cell r="A199" t="str">
            <v>2068</v>
          </cell>
          <cell r="B199" t="str">
            <v>John L. Woodsford</v>
          </cell>
        </row>
        <row r="200">
          <cell r="A200" t="str">
            <v>2069</v>
          </cell>
          <cell r="B200" t="str">
            <v>Hector M. Uson</v>
          </cell>
        </row>
        <row r="201">
          <cell r="A201" t="str">
            <v>2070</v>
          </cell>
          <cell r="B201" t="str">
            <v>Lord Nelson Castro</v>
          </cell>
        </row>
        <row r="202">
          <cell r="A202" t="str">
            <v>2071</v>
          </cell>
          <cell r="B202" t="str">
            <v>Florencio Canafranca</v>
          </cell>
        </row>
        <row r="203">
          <cell r="A203" t="str">
            <v>2072</v>
          </cell>
          <cell r="B203" t="str">
            <v>Josie Adame</v>
          </cell>
        </row>
        <row r="204">
          <cell r="A204" t="str">
            <v>2073</v>
          </cell>
          <cell r="B204" t="str">
            <v>Renato Garcia</v>
          </cell>
        </row>
        <row r="205">
          <cell r="A205" t="str">
            <v>2074</v>
          </cell>
          <cell r="B205" t="str">
            <v>Fidel Cortez</v>
          </cell>
        </row>
        <row r="206">
          <cell r="A206" t="str">
            <v>2075</v>
          </cell>
          <cell r="B206" t="str">
            <v>Rolando Galvez</v>
          </cell>
        </row>
        <row r="207">
          <cell r="A207" t="str">
            <v>2076</v>
          </cell>
          <cell r="B207" t="str">
            <v>Sheryl Moredo</v>
          </cell>
        </row>
        <row r="208">
          <cell r="A208" t="str">
            <v>2077</v>
          </cell>
          <cell r="B208" t="str">
            <v>Myka Mercado</v>
          </cell>
        </row>
        <row r="209">
          <cell r="A209" t="str">
            <v>2078</v>
          </cell>
          <cell r="B209" t="str">
            <v>Toru Matsukawa</v>
          </cell>
        </row>
        <row r="210">
          <cell r="A210" t="str">
            <v>2079</v>
          </cell>
          <cell r="B210" t="str">
            <v>Manolo Antonio C. Estrella</v>
          </cell>
        </row>
        <row r="211">
          <cell r="A211" t="str">
            <v>2080</v>
          </cell>
          <cell r="B211" t="str">
            <v>Joselito G. Reyes</v>
          </cell>
        </row>
        <row r="212">
          <cell r="A212" t="str">
            <v>2081</v>
          </cell>
          <cell r="B212" t="str">
            <v>Sandra Mae C. Ramos</v>
          </cell>
        </row>
        <row r="213">
          <cell r="A213" t="str">
            <v>2082</v>
          </cell>
          <cell r="B213" t="str">
            <v>Masayuki Nakanishi</v>
          </cell>
        </row>
        <row r="214">
          <cell r="A214" t="str">
            <v>2083</v>
          </cell>
          <cell r="B214" t="str">
            <v>Evangelista Oreta</v>
          </cell>
        </row>
        <row r="215">
          <cell r="A215" t="str">
            <v>2084</v>
          </cell>
          <cell r="B215" t="str">
            <v>Wilfredo N. Nate</v>
          </cell>
        </row>
        <row r="216">
          <cell r="A216" t="str">
            <v>2085</v>
          </cell>
          <cell r="B216" t="str">
            <v>Ella Mae C. Eleazar</v>
          </cell>
        </row>
        <row r="217">
          <cell r="A217" t="str">
            <v>2086</v>
          </cell>
          <cell r="B217" t="str">
            <v>Jaypee T. Flores</v>
          </cell>
        </row>
        <row r="218">
          <cell r="A218" t="str">
            <v>2087</v>
          </cell>
          <cell r="B218" t="str">
            <v>Motoyo Araki</v>
          </cell>
        </row>
        <row r="219">
          <cell r="A219" t="str">
            <v>2088</v>
          </cell>
          <cell r="B219" t="str">
            <v>Emiliano F. Rivera</v>
          </cell>
        </row>
        <row r="220">
          <cell r="A220" t="str">
            <v>2089</v>
          </cell>
          <cell r="B220" t="str">
            <v>Albert C. Mirador</v>
          </cell>
        </row>
        <row r="221">
          <cell r="A221" t="str">
            <v>2090</v>
          </cell>
          <cell r="B221" t="str">
            <v>Gervacio Q. Baltazar</v>
          </cell>
        </row>
        <row r="222">
          <cell r="A222" t="str">
            <v>2091</v>
          </cell>
          <cell r="B222" t="str">
            <v>Nesah Jariel</v>
          </cell>
        </row>
        <row r="223">
          <cell r="A223" t="str">
            <v>2092</v>
          </cell>
          <cell r="B223" t="str">
            <v>Debbie Loreena Y. Silerio</v>
          </cell>
        </row>
        <row r="224">
          <cell r="A224" t="str">
            <v>2093</v>
          </cell>
          <cell r="B224" t="str">
            <v>Shinsuke Mogi</v>
          </cell>
        </row>
        <row r="225">
          <cell r="A225" t="str">
            <v>2094</v>
          </cell>
          <cell r="B225" t="str">
            <v>Jay Jaworski D. Tiamson</v>
          </cell>
        </row>
        <row r="226">
          <cell r="A226" t="str">
            <v>2095</v>
          </cell>
          <cell r="B226" t="str">
            <v>Guillermito Arborilla III</v>
          </cell>
        </row>
        <row r="227">
          <cell r="A227" t="str">
            <v>2096</v>
          </cell>
          <cell r="B227" t="str">
            <v>Ronald F. Comandante</v>
          </cell>
        </row>
        <row r="228">
          <cell r="A228" t="str">
            <v>2097</v>
          </cell>
          <cell r="B228" t="str">
            <v>Norio Kanzaki</v>
          </cell>
        </row>
        <row r="229">
          <cell r="A229" t="str">
            <v>2098</v>
          </cell>
          <cell r="B229" t="str">
            <v>Celso Dion</v>
          </cell>
        </row>
        <row r="230">
          <cell r="A230" t="str">
            <v>2099</v>
          </cell>
          <cell r="B230" t="str">
            <v>Rhom Justin G. Dela Rosa</v>
          </cell>
        </row>
        <row r="231">
          <cell r="A231" t="str">
            <v>2100</v>
          </cell>
          <cell r="B231" t="str">
            <v>Peter G. Gillard</v>
          </cell>
        </row>
        <row r="232">
          <cell r="A232" t="str">
            <v>2101</v>
          </cell>
          <cell r="B232" t="str">
            <v>Henry Abeysekera</v>
          </cell>
        </row>
        <row r="233">
          <cell r="A233" t="str">
            <v>2102</v>
          </cell>
          <cell r="B233" t="str">
            <v>Jose Arnel Abitang Singuillo</v>
          </cell>
        </row>
        <row r="234">
          <cell r="A234" t="str">
            <v>2103</v>
          </cell>
          <cell r="B234" t="str">
            <v>Elsker Paciencia Ramirez</v>
          </cell>
        </row>
        <row r="235">
          <cell r="A235" t="str">
            <v>2104</v>
          </cell>
          <cell r="B235" t="str">
            <v>Mica Andres Delina</v>
          </cell>
        </row>
        <row r="236">
          <cell r="A236" t="str">
            <v>2105</v>
          </cell>
          <cell r="B236" t="str">
            <v>Margie Batuigas Pamada</v>
          </cell>
        </row>
        <row r="237">
          <cell r="A237" t="str">
            <v>2106</v>
          </cell>
          <cell r="B237" t="str">
            <v>George Bryden</v>
          </cell>
        </row>
        <row r="238">
          <cell r="A238" t="str">
            <v>2107</v>
          </cell>
          <cell r="B238" t="str">
            <v>Gary Anthony Macara</v>
          </cell>
        </row>
        <row r="239">
          <cell r="A239" t="str">
            <v>2108</v>
          </cell>
          <cell r="B239" t="str">
            <v>Pankaj Sharma</v>
          </cell>
        </row>
        <row r="240">
          <cell r="A240" t="str">
            <v>2109</v>
          </cell>
          <cell r="B240" t="str">
            <v>Muktibodh Shripad Chandwaskar</v>
          </cell>
        </row>
        <row r="241">
          <cell r="A241" t="str">
            <v>2110</v>
          </cell>
          <cell r="B241" t="str">
            <v>Akihiko Fujiyoshi</v>
          </cell>
        </row>
        <row r="242">
          <cell r="A242" t="str">
            <v>2111</v>
          </cell>
          <cell r="B242" t="str">
            <v>Hans Baumann</v>
          </cell>
        </row>
        <row r="243">
          <cell r="A243" t="str">
            <v>2112</v>
          </cell>
          <cell r="B243" t="str">
            <v>Matz Karlsson</v>
          </cell>
        </row>
        <row r="244">
          <cell r="A244" t="str">
            <v>2113</v>
          </cell>
          <cell r="B244" t="str">
            <v>Carmella Arellano</v>
          </cell>
        </row>
        <row r="245">
          <cell r="A245" t="str">
            <v>2114</v>
          </cell>
          <cell r="B245" t="str">
            <v>Yuka ITO</v>
          </cell>
        </row>
        <row r="246">
          <cell r="A246" t="str">
            <v>2115</v>
          </cell>
          <cell r="B246" t="str">
            <v>Michael Philip James Pollard</v>
          </cell>
        </row>
        <row r="247">
          <cell r="A247" t="str">
            <v>2116</v>
          </cell>
          <cell r="B247" t="str">
            <v>Arthur William Truman III</v>
          </cell>
        </row>
        <row r="248">
          <cell r="A248" t="str">
            <v>2117</v>
          </cell>
          <cell r="B248" t="str">
            <v>Philippe Desgranges </v>
          </cell>
        </row>
        <row r="249">
          <cell r="A249" t="str">
            <v>2118</v>
          </cell>
          <cell r="B249" t="str">
            <v>Vipin Yadav</v>
          </cell>
        </row>
        <row r="250">
          <cell r="A250" t="str">
            <v>2119</v>
          </cell>
          <cell r="B250" t="str">
            <v>Minoru Katsura</v>
          </cell>
        </row>
        <row r="251">
          <cell r="A251" t="str">
            <v>2120</v>
          </cell>
          <cell r="B251" t="str">
            <v>Wataru Morimoto</v>
          </cell>
        </row>
        <row r="252">
          <cell r="A252" t="str">
            <v>2121</v>
          </cell>
          <cell r="B252" t="str">
            <v>Catherine Liew</v>
          </cell>
        </row>
        <row r="253">
          <cell r="A253" t="str">
            <v>2122</v>
          </cell>
          <cell r="B253" t="str">
            <v>Ophelia B. Armilla </v>
          </cell>
        </row>
        <row r="254">
          <cell r="A254" t="str">
            <v>2123</v>
          </cell>
          <cell r="B254" t="str">
            <v>Juan Rafael Montano Michel</v>
          </cell>
        </row>
        <row r="255">
          <cell r="A255" t="str">
            <v>2124</v>
          </cell>
          <cell r="B255" t="str">
            <v>Ezaz Eligh Endo</v>
          </cell>
        </row>
        <row r="256">
          <cell r="A256" t="str">
            <v>2125</v>
          </cell>
          <cell r="B256" t="str">
            <v>Richard Lee</v>
          </cell>
        </row>
        <row r="257">
          <cell r="A257" t="str">
            <v>2126</v>
          </cell>
          <cell r="B257" t="str">
            <v>Keith Allenby</v>
          </cell>
        </row>
        <row r="258">
          <cell r="A258" t="str">
            <v>2127</v>
          </cell>
          <cell r="B258" t="str">
            <v>Moustapha Youssouf Weirah</v>
          </cell>
        </row>
        <row r="259">
          <cell r="A259" t="str">
            <v>2128</v>
          </cell>
          <cell r="B259" t="str">
            <v>Mary June C. Rociento</v>
          </cell>
        </row>
        <row r="260">
          <cell r="A260" t="str">
            <v>2129</v>
          </cell>
          <cell r="B260" t="str">
            <v>Sudheer Sivadasan</v>
          </cell>
        </row>
        <row r="261">
          <cell r="A261" t="str">
            <v>2130</v>
          </cell>
          <cell r="B261" t="str">
            <v>Paul Harry Cooke</v>
          </cell>
        </row>
        <row r="262">
          <cell r="A262" t="str">
            <v>2131</v>
          </cell>
          <cell r="B262" t="str">
            <v>Kazuo Takeishi</v>
          </cell>
        </row>
        <row r="263">
          <cell r="A263" t="str">
            <v>2132</v>
          </cell>
          <cell r="B263" t="str">
            <v>Jonathan Go</v>
          </cell>
        </row>
        <row r="264">
          <cell r="A264" t="str">
            <v>2133</v>
          </cell>
          <cell r="B264" t="str">
            <v>Henry Curran</v>
          </cell>
        </row>
        <row r="265">
          <cell r="A265" t="str">
            <v>2134</v>
          </cell>
          <cell r="B265" t="str">
            <v>Walter Salmon</v>
          </cell>
        </row>
        <row r="266">
          <cell r="A266" t="str">
            <v>2135</v>
          </cell>
          <cell r="B266" t="str">
            <v>Ismail Harun</v>
          </cell>
        </row>
        <row r="267">
          <cell r="A267" t="str">
            <v>2136</v>
          </cell>
          <cell r="B267" t="str">
            <v>Paul Andrew Cleary</v>
          </cell>
        </row>
        <row r="268">
          <cell r="A268">
            <v>2137</v>
          </cell>
          <cell r="B268" t="str">
            <v>Mary June C. Rociento</v>
          </cell>
        </row>
        <row r="269">
          <cell r="A269" t="str">
            <v>2138</v>
          </cell>
          <cell r="B269" t="str">
            <v>Paul Teng</v>
          </cell>
        </row>
        <row r="270">
          <cell r="A270" t="str">
            <v>2139</v>
          </cell>
          <cell r="B270" t="str">
            <v>Jose Lorenzo Afable</v>
          </cell>
        </row>
        <row r="271">
          <cell r="A271" t="str">
            <v>2140</v>
          </cell>
          <cell r="B271" t="str">
            <v>Eji Matsuzaki</v>
          </cell>
        </row>
        <row r="272">
          <cell r="A272" t="str">
            <v>2141</v>
          </cell>
          <cell r="B272" t="str">
            <v>Rannie Jimena</v>
          </cell>
        </row>
        <row r="273">
          <cell r="A273" t="str">
            <v>2142</v>
          </cell>
          <cell r="B273" t="str">
            <v>Deniz Erkan</v>
          </cell>
        </row>
        <row r="274">
          <cell r="A274" t="str">
            <v>2143</v>
          </cell>
          <cell r="B274" t="str">
            <v>Jonathan Fletcher</v>
          </cell>
        </row>
        <row r="275">
          <cell r="A275" t="str">
            <v>2144</v>
          </cell>
          <cell r="B275" t="str">
            <v>Jayamohan Somasundaram</v>
          </cell>
        </row>
        <row r="276">
          <cell r="A276" t="str">
            <v>2145</v>
          </cell>
          <cell r="B276" t="str">
            <v>Nizar Solomon</v>
          </cell>
        </row>
        <row r="277">
          <cell r="A277" t="str">
            <v>2146</v>
          </cell>
          <cell r="B277" t="str">
            <v>Joo Byung Park</v>
          </cell>
        </row>
        <row r="278">
          <cell r="A278" t="str">
            <v>2147</v>
          </cell>
          <cell r="B278" t="str">
            <v>Tatsuyuki Matsuda</v>
          </cell>
        </row>
        <row r="279">
          <cell r="A279" t="str">
            <v>2148</v>
          </cell>
          <cell r="B279" t="str">
            <v>Hiromi Narizuka</v>
          </cell>
        </row>
        <row r="280">
          <cell r="A280" t="str">
            <v>2149</v>
          </cell>
          <cell r="B280" t="str">
            <v>Jonathan Go</v>
          </cell>
        </row>
        <row r="281">
          <cell r="A281" t="str">
            <v>2150</v>
          </cell>
          <cell r="B281" t="str">
            <v>Phillip Richard Swif</v>
          </cell>
        </row>
        <row r="282">
          <cell r="A282" t="str">
            <v>2151</v>
          </cell>
          <cell r="B282" t="str">
            <v>Vincent/Kimi Porrazzo</v>
          </cell>
        </row>
        <row r="283">
          <cell r="A283" t="str">
            <v>2152</v>
          </cell>
          <cell r="B283" t="str">
            <v>Tetsuya Yoshizawa</v>
          </cell>
        </row>
        <row r="284">
          <cell r="A284" t="str">
            <v>2153</v>
          </cell>
          <cell r="B284" t="str">
            <v>Christine Oberes</v>
          </cell>
        </row>
        <row r="285">
          <cell r="A285" t="str">
            <v>2154</v>
          </cell>
          <cell r="B285" t="str">
            <v>Atsushi Natsubori</v>
          </cell>
        </row>
        <row r="286">
          <cell r="A286" t="str">
            <v>2155</v>
          </cell>
          <cell r="B286" t="str">
            <v>Wan Khairul Anuar Bi</v>
          </cell>
        </row>
        <row r="287">
          <cell r="A287" t="str">
            <v>2156</v>
          </cell>
          <cell r="B287" t="str">
            <v>Christopher John Bur</v>
          </cell>
        </row>
        <row r="288">
          <cell r="A288" t="str">
            <v>2157</v>
          </cell>
          <cell r="B288" t="str">
            <v>Robert Keenan</v>
          </cell>
        </row>
        <row r="289">
          <cell r="A289" t="str">
            <v>2158</v>
          </cell>
          <cell r="B289" t="str">
            <v>Paulo Monteiro Abran</v>
          </cell>
        </row>
        <row r="290">
          <cell r="A290" t="str">
            <v>2159</v>
          </cell>
          <cell r="B290" t="str">
            <v>Sandhya Regmi</v>
          </cell>
        </row>
        <row r="291">
          <cell r="A291" t="str">
            <v>2160</v>
          </cell>
          <cell r="B291" t="str">
            <v>Ian John WATSON</v>
          </cell>
        </row>
        <row r="292">
          <cell r="A292" t="str">
            <v>2161</v>
          </cell>
          <cell r="B292" t="str">
            <v>Peter David Raeside</v>
          </cell>
        </row>
        <row r="293">
          <cell r="A293" t="str">
            <v>2162</v>
          </cell>
          <cell r="B293" t="str">
            <v>Paul Teng</v>
          </cell>
        </row>
        <row r="294">
          <cell r="A294" t="str">
            <v>2163</v>
          </cell>
          <cell r="B294" t="str">
            <v>Jong Hyup Jung</v>
          </cell>
        </row>
        <row r="295">
          <cell r="A295" t="str">
            <v>2164</v>
          </cell>
          <cell r="B295" t="str">
            <v>Deniz Erkan</v>
          </cell>
        </row>
        <row r="296">
          <cell r="A296" t="str">
            <v>2165</v>
          </cell>
          <cell r="B296" t="str">
            <v>Michael James Mickenz</v>
          </cell>
        </row>
        <row r="297">
          <cell r="A297" t="str">
            <v>2166</v>
          </cell>
          <cell r="B297" t="str">
            <v>Philip Rchard Swift</v>
          </cell>
        </row>
        <row r="298">
          <cell r="A298" t="str">
            <v>2167</v>
          </cell>
          <cell r="B298" t="str">
            <v>Fabrizio Tuccari</v>
          </cell>
        </row>
        <row r="299">
          <cell r="A299" t="str">
            <v>2168</v>
          </cell>
          <cell r="B299" t="str">
            <v>Lutz Thomas Hoenig</v>
          </cell>
        </row>
        <row r="300">
          <cell r="A300" t="str">
            <v>2169</v>
          </cell>
          <cell r="B300" t="str">
            <v>Pawan Kumar Sharma</v>
          </cell>
        </row>
        <row r="301">
          <cell r="A301" t="str">
            <v>2170</v>
          </cell>
          <cell r="B301" t="str">
            <v>David Vincent Rees</v>
          </cell>
        </row>
        <row r="302">
          <cell r="A302" t="str">
            <v>2171</v>
          </cell>
          <cell r="B302" t="str">
            <v>Joseph Christian Quezada</v>
          </cell>
        </row>
        <row r="303">
          <cell r="A303" t="str">
            <v>2172</v>
          </cell>
          <cell r="B303" t="str">
            <v>Ojie Darnayla</v>
          </cell>
        </row>
        <row r="304">
          <cell r="A304" t="str">
            <v>2173</v>
          </cell>
          <cell r="B304" t="str">
            <v>Rhaeziel Gabac</v>
          </cell>
        </row>
        <row r="305">
          <cell r="A305" t="str">
            <v>2174</v>
          </cell>
          <cell r="B305" t="str">
            <v>Raquel Malolot</v>
          </cell>
        </row>
        <row r="306">
          <cell r="A306" t="str">
            <v>2175</v>
          </cell>
          <cell r="B306" t="str">
            <v>Hannah Mae Soriano</v>
          </cell>
        </row>
        <row r="307">
          <cell r="A307" t="str">
            <v>2176</v>
          </cell>
          <cell r="B307" t="str">
            <v>Socorro L. Patindol</v>
          </cell>
        </row>
        <row r="308">
          <cell r="A308" t="str">
            <v>2177</v>
          </cell>
          <cell r="B308" t="str">
            <v>Peter Bowen</v>
          </cell>
        </row>
        <row r="309">
          <cell r="A309" t="str">
            <v>2178</v>
          </cell>
          <cell r="B309" t="str">
            <v>Godson Jasper Sundar</v>
          </cell>
        </row>
        <row r="310">
          <cell r="A310" t="str">
            <v>2179</v>
          </cell>
          <cell r="B310" t="str">
            <v>Jenie Pearl Lopez</v>
          </cell>
        </row>
        <row r="311">
          <cell r="A311" t="str">
            <v>2180</v>
          </cell>
          <cell r="B311" t="str">
            <v>Can Bolkan</v>
          </cell>
        </row>
        <row r="312">
          <cell r="A312" t="str">
            <v>2181</v>
          </cell>
          <cell r="B312" t="str">
            <v>Michael McKenzie</v>
          </cell>
        </row>
        <row r="313">
          <cell r="A313" t="str">
            <v>2182</v>
          </cell>
          <cell r="B313" t="str">
            <v>Niatri Lusy</v>
          </cell>
        </row>
        <row r="314">
          <cell r="A314" t="str">
            <v>2183</v>
          </cell>
          <cell r="B314" t="str">
            <v>Michelle Tan</v>
          </cell>
        </row>
        <row r="315">
          <cell r="A315" t="str">
            <v>2184</v>
          </cell>
          <cell r="B315" t="str">
            <v>Chai Hon Sun</v>
          </cell>
        </row>
        <row r="316">
          <cell r="A316" t="str">
            <v>2185</v>
          </cell>
          <cell r="B316" t="str">
            <v>Su Chun Ming</v>
          </cell>
        </row>
        <row r="317">
          <cell r="A317" t="str">
            <v>2186</v>
          </cell>
          <cell r="B317" t="str">
            <v>Wansoo Kim</v>
          </cell>
        </row>
        <row r="318">
          <cell r="A318" t="str">
            <v>2187</v>
          </cell>
          <cell r="B318" t="str">
            <v>Sahid Bin Suradi</v>
          </cell>
        </row>
        <row r="319">
          <cell r="A319" t="str">
            <v>2188</v>
          </cell>
          <cell r="B319" t="str">
            <v>Fidel Moran</v>
          </cell>
        </row>
        <row r="320">
          <cell r="A320" t="str">
            <v>2189</v>
          </cell>
          <cell r="B320" t="str">
            <v>Coyne Gordon</v>
          </cell>
        </row>
        <row r="321">
          <cell r="A321" t="str">
            <v>2190</v>
          </cell>
          <cell r="B321" t="str">
            <v>Henrique Gazzinelli</v>
          </cell>
        </row>
        <row r="322">
          <cell r="A322" t="str">
            <v>2191</v>
          </cell>
          <cell r="B322" t="str">
            <v>Victor Justo Corrale</v>
          </cell>
        </row>
        <row r="323">
          <cell r="A323" t="str">
            <v>2192</v>
          </cell>
          <cell r="B323" t="str">
            <v>Nishio Yohei</v>
          </cell>
        </row>
        <row r="324">
          <cell r="A324" t="str">
            <v>2193</v>
          </cell>
          <cell r="B324" t="str">
            <v>Godofredo Amper</v>
          </cell>
        </row>
        <row r="325">
          <cell r="A325" t="str">
            <v>2194</v>
          </cell>
          <cell r="B325" t="str">
            <v>Wilfredo Galang</v>
          </cell>
        </row>
        <row r="326">
          <cell r="A326" t="str">
            <v>2195</v>
          </cell>
          <cell r="B326" t="str">
            <v>Ralph Jason Javier</v>
          </cell>
        </row>
        <row r="327">
          <cell r="A327" t="str">
            <v>2196</v>
          </cell>
          <cell r="B327" t="str">
            <v>Mohd Amirudin Bin Z</v>
          </cell>
        </row>
        <row r="328">
          <cell r="A328" t="str">
            <v>2197</v>
          </cell>
          <cell r="B328" t="str">
            <v>Mohd Haszuan Sukairi</v>
          </cell>
        </row>
        <row r="329">
          <cell r="A329" t="str">
            <v>2198</v>
          </cell>
          <cell r="B329" t="str">
            <v>Vinayagam Natarajan</v>
          </cell>
        </row>
        <row r="330">
          <cell r="A330" t="str">
            <v>2199</v>
          </cell>
          <cell r="B330" t="str">
            <v>Lee Kuan Joo</v>
          </cell>
        </row>
        <row r="331">
          <cell r="A331" t="str">
            <v>2200</v>
          </cell>
          <cell r="B331" t="str">
            <v>Jenison Yi-Wei</v>
          </cell>
        </row>
        <row r="332">
          <cell r="A332" t="str">
            <v>2201</v>
          </cell>
          <cell r="B332" t="str">
            <v>Maria Donna Banks</v>
          </cell>
        </row>
        <row r="333">
          <cell r="A333" t="str">
            <v>2202</v>
          </cell>
          <cell r="B333" t="str">
            <v>Paul James Southern</v>
          </cell>
        </row>
        <row r="334">
          <cell r="A334" t="str">
            <v>2203</v>
          </cell>
          <cell r="B334" t="str">
            <v>Vijay Pralhad Lachyan</v>
          </cell>
        </row>
        <row r="335">
          <cell r="A335" t="str">
            <v>2204</v>
          </cell>
          <cell r="B335" t="str">
            <v>Jayant Chauhan</v>
          </cell>
        </row>
        <row r="336">
          <cell r="A336" t="str">
            <v>2205</v>
          </cell>
          <cell r="B336" t="str">
            <v>Mayumi Shoji</v>
          </cell>
        </row>
        <row r="337">
          <cell r="A337" t="str">
            <v>2206</v>
          </cell>
          <cell r="B337" t="str">
            <v>Albert Johan De Munck</v>
          </cell>
        </row>
        <row r="338">
          <cell r="A338" t="str">
            <v>2207</v>
          </cell>
          <cell r="B338" t="str">
            <v>Hajime Okawa</v>
          </cell>
        </row>
        <row r="339">
          <cell r="A339" t="str">
            <v>2208</v>
          </cell>
          <cell r="B339" t="str">
            <v>Murty Surya</v>
          </cell>
        </row>
        <row r="340">
          <cell r="A340" t="str">
            <v>2209</v>
          </cell>
          <cell r="B340" t="str">
            <v>Martin Leonard Ketteridge</v>
          </cell>
        </row>
        <row r="341">
          <cell r="A341" t="str">
            <v>2210</v>
          </cell>
          <cell r="B341" t="str">
            <v>Janet B. Vidanes</v>
          </cell>
        </row>
        <row r="342">
          <cell r="A342" t="str">
            <v>2211</v>
          </cell>
          <cell r="B342" t="str">
            <v>Ramil G. Anzaldo</v>
          </cell>
        </row>
        <row r="343">
          <cell r="A343" t="str">
            <v>2212</v>
          </cell>
          <cell r="B343" t="str">
            <v>Aureliusz SOBANSKI</v>
          </cell>
        </row>
        <row r="344">
          <cell r="A344" t="str">
            <v>2213</v>
          </cell>
          <cell r="B344" t="str">
            <v>Sandip KAUL</v>
          </cell>
        </row>
        <row r="345">
          <cell r="A345" t="str">
            <v>2214</v>
          </cell>
          <cell r="B345" t="str">
            <v>Nay Lwin</v>
          </cell>
        </row>
        <row r="346">
          <cell r="A346" t="str">
            <v>2215</v>
          </cell>
          <cell r="B346" t="str">
            <v>Annalie S. Conde</v>
          </cell>
        </row>
        <row r="347">
          <cell r="A347" t="str">
            <v>2216</v>
          </cell>
          <cell r="B347" t="str">
            <v>Joshua Edwin D.Enriquez</v>
          </cell>
        </row>
        <row r="348">
          <cell r="A348" t="str">
            <v>2217</v>
          </cell>
          <cell r="B348" t="str">
            <v>Jovylyn R.D. Ranido</v>
          </cell>
        </row>
        <row r="349">
          <cell r="A349" t="str">
            <v>2218</v>
          </cell>
          <cell r="B349" t="str">
            <v>Christopher Raymundo</v>
          </cell>
        </row>
        <row r="350">
          <cell r="A350" t="str">
            <v>2219</v>
          </cell>
          <cell r="B350" t="str">
            <v>Dominador C. Taule</v>
          </cell>
        </row>
        <row r="351">
          <cell r="A351" t="str">
            <v>2220</v>
          </cell>
          <cell r="B351" t="str">
            <v>Joanne C. Dela Cruz</v>
          </cell>
        </row>
        <row r="352">
          <cell r="A352" t="str">
            <v>2221</v>
          </cell>
          <cell r="B352" t="str">
            <v>Nerrizah D. Bautista</v>
          </cell>
        </row>
        <row r="353">
          <cell r="A353" t="str">
            <v>2222</v>
          </cell>
          <cell r="B353" t="str">
            <v>Roberto A. Cama</v>
          </cell>
        </row>
        <row r="354">
          <cell r="A354" t="str">
            <v>2223</v>
          </cell>
          <cell r="B354" t="str">
            <v>Irish A. Candel</v>
          </cell>
        </row>
        <row r="355">
          <cell r="A355" t="str">
            <v>2224</v>
          </cell>
          <cell r="B355" t="str">
            <v>Luigi Cipolla</v>
          </cell>
        </row>
        <row r="356">
          <cell r="A356" t="str">
            <v>2225</v>
          </cell>
          <cell r="B356" t="str">
            <v>Takayuki Omori</v>
          </cell>
        </row>
        <row r="357">
          <cell r="A357" t="str">
            <v>2226</v>
          </cell>
          <cell r="B357" t="str">
            <v>Reynette Andrew Famadico</v>
          </cell>
        </row>
        <row r="358">
          <cell r="A358" t="str">
            <v>2227</v>
          </cell>
          <cell r="B358" t="str">
            <v>Zyra Natalie Mangsat </v>
          </cell>
        </row>
        <row r="359">
          <cell r="A359" t="str">
            <v>2228</v>
          </cell>
          <cell r="B359" t="str">
            <v>Rowena Darnayla</v>
          </cell>
        </row>
        <row r="360">
          <cell r="A360" t="str">
            <v>2229</v>
          </cell>
          <cell r="B360" t="str">
            <v>Maria Cristina Quinalayo </v>
          </cell>
        </row>
        <row r="361">
          <cell r="A361" t="str">
            <v>2230</v>
          </cell>
          <cell r="B361" t="str">
            <v>Marlan Jean B. Cruz </v>
          </cell>
        </row>
        <row r="362">
          <cell r="A362" t="str">
            <v>2231</v>
          </cell>
          <cell r="B362" t="str">
            <v>Hee Su CHO</v>
          </cell>
        </row>
        <row r="363">
          <cell r="A363" t="str">
            <v>2232</v>
          </cell>
          <cell r="B363" t="str">
            <v>Neil Johnson</v>
          </cell>
        </row>
        <row r="364">
          <cell r="A364" t="str">
            <v>2233</v>
          </cell>
          <cell r="B364" t="str">
            <v>Fabrizio Tuccari</v>
          </cell>
        </row>
        <row r="365">
          <cell r="A365" t="str">
            <v>2234</v>
          </cell>
          <cell r="B365" t="str">
            <v>Lee Kit Sum</v>
          </cell>
        </row>
        <row r="366">
          <cell r="A366" t="str">
            <v>2235</v>
          </cell>
          <cell r="B366" t="str">
            <v>Michelle Peñano</v>
          </cell>
        </row>
        <row r="367">
          <cell r="A367" t="str">
            <v>2236</v>
          </cell>
          <cell r="B367" t="str">
            <v>Maila Flores</v>
          </cell>
        </row>
        <row r="368">
          <cell r="A368" t="str">
            <v>2237</v>
          </cell>
          <cell r="B368" t="str">
            <v>Bruno Henri Peeter</v>
          </cell>
        </row>
        <row r="369">
          <cell r="A369" t="str">
            <v>2238</v>
          </cell>
          <cell r="B369" t="str">
            <v>Maung Nay Lwin</v>
          </cell>
        </row>
        <row r="370">
          <cell r="A370" t="str">
            <v>2239</v>
          </cell>
          <cell r="B370" t="str">
            <v>Janitha Shyamal </v>
          </cell>
        </row>
        <row r="371">
          <cell r="A371" t="str">
            <v>2240</v>
          </cell>
          <cell r="B371" t="str">
            <v>Yan Stanley Kam Ting</v>
          </cell>
        </row>
        <row r="372">
          <cell r="A372" t="str">
            <v>2241</v>
          </cell>
          <cell r="B372" t="str">
            <v>Nyi Nyi Lwin</v>
          </cell>
        </row>
        <row r="373">
          <cell r="A373" t="str">
            <v>2242</v>
          </cell>
          <cell r="B373" t="str">
            <v>Ramotar Meena</v>
          </cell>
        </row>
        <row r="374">
          <cell r="A374" t="str">
            <v>2243</v>
          </cell>
          <cell r="B374" t="str">
            <v>Muhammad Azfar Bin M</v>
          </cell>
        </row>
        <row r="375">
          <cell r="A375" t="str">
            <v>2244</v>
          </cell>
          <cell r="B375" t="str">
            <v>Armand Cucio</v>
          </cell>
        </row>
        <row r="376">
          <cell r="A376" t="str">
            <v>2245</v>
          </cell>
          <cell r="B376" t="str">
            <v>Carla Cunanan</v>
          </cell>
        </row>
        <row r="377">
          <cell r="A377" t="str">
            <v>2246</v>
          </cell>
          <cell r="B377" t="str">
            <v>Angel Troy G. Velez</v>
          </cell>
        </row>
        <row r="378">
          <cell r="A378" t="str">
            <v>2247</v>
          </cell>
          <cell r="B378" t="str">
            <v>Ricardo Orpilla</v>
          </cell>
        </row>
        <row r="379">
          <cell r="A379" t="str">
            <v>2248</v>
          </cell>
          <cell r="B379" t="str">
            <v>Joanne Oco</v>
          </cell>
        </row>
        <row r="380">
          <cell r="A380" t="str">
            <v>2249</v>
          </cell>
          <cell r="B380" t="str">
            <v>Adriza May Caliao</v>
          </cell>
        </row>
        <row r="381">
          <cell r="A381" t="str">
            <v>2250</v>
          </cell>
          <cell r="B381" t="str">
            <v>Ashley Lynch</v>
          </cell>
        </row>
        <row r="382">
          <cell r="A382" t="str">
            <v>2251</v>
          </cell>
          <cell r="B382" t="str">
            <v>Kyaw San Aung</v>
          </cell>
        </row>
        <row r="383">
          <cell r="A383" t="str">
            <v>2252</v>
          </cell>
          <cell r="B383" t="str">
            <v>John Maurice Stephens</v>
          </cell>
        </row>
        <row r="384">
          <cell r="A384" t="str">
            <v>2253</v>
          </cell>
          <cell r="B384" t="str">
            <v>M Janitha Shyamal</v>
          </cell>
        </row>
        <row r="385">
          <cell r="A385" t="str">
            <v>2254</v>
          </cell>
          <cell r="B385" t="str">
            <v>Suleyman Acikbas </v>
          </cell>
        </row>
        <row r="386">
          <cell r="A386" t="str">
            <v>2255</v>
          </cell>
          <cell r="B386" t="str">
            <v>Tommy Kay Tat Lee</v>
          </cell>
        </row>
        <row r="387">
          <cell r="A387" t="str">
            <v>2256</v>
          </cell>
          <cell r="B387" t="str">
            <v>Antonello Mastinu</v>
          </cell>
        </row>
        <row r="388">
          <cell r="A388" t="str">
            <v>2257</v>
          </cell>
          <cell r="B388" t="str">
            <v>Hidekazu Tanaka</v>
          </cell>
        </row>
        <row r="389">
          <cell r="A389" t="str">
            <v>2258</v>
          </cell>
          <cell r="B389" t="str">
            <v>Shetty Vithal Suresh</v>
          </cell>
        </row>
        <row r="390">
          <cell r="A390" t="str">
            <v>2259</v>
          </cell>
          <cell r="B390" t="str">
            <v>Marksam Toledo</v>
          </cell>
        </row>
        <row r="391">
          <cell r="A391" t="str">
            <v>2260</v>
          </cell>
          <cell r="B391" t="str">
            <v>Yin Kwan Lee</v>
          </cell>
        </row>
        <row r="392">
          <cell r="A392" t="str">
            <v>2261</v>
          </cell>
          <cell r="B392" t="str">
            <v>Mao-Hua Peng</v>
          </cell>
        </row>
        <row r="393">
          <cell r="A393" t="str">
            <v>2262</v>
          </cell>
          <cell r="B393" t="str">
            <v>Lalit Kumar Sharma</v>
          </cell>
        </row>
        <row r="394">
          <cell r="A394" t="str">
            <v>2263</v>
          </cell>
          <cell r="B394" t="str">
            <v>Stewart Alexander Mcdonalds</v>
          </cell>
        </row>
        <row r="395">
          <cell r="A395" t="str">
            <v>2264</v>
          </cell>
          <cell r="B395" t="str">
            <v>April Mae Makiling</v>
          </cell>
        </row>
        <row r="396">
          <cell r="A396" t="str">
            <v>2265</v>
          </cell>
          <cell r="B396" t="str">
            <v>Toshiya Chiba</v>
          </cell>
        </row>
        <row r="397">
          <cell r="A397" t="str">
            <v>2266</v>
          </cell>
          <cell r="B397" t="str">
            <v>Miller P. Bermudez</v>
          </cell>
        </row>
        <row r="398">
          <cell r="A398" t="str">
            <v>2267</v>
          </cell>
          <cell r="B398" t="str">
            <v>Matthew A. Agapito</v>
          </cell>
        </row>
        <row r="399">
          <cell r="A399" t="str">
            <v>2268</v>
          </cell>
          <cell r="B399" t="str">
            <v>John Goree Sarre</v>
          </cell>
        </row>
        <row r="400">
          <cell r="A400" t="str">
            <v>2269</v>
          </cell>
          <cell r="B400" t="str">
            <v>Shin HISADA</v>
          </cell>
        </row>
        <row r="401">
          <cell r="A401" t="str">
            <v>2270</v>
          </cell>
          <cell r="B401" t="str">
            <v>Tsoi, Sai Lung</v>
          </cell>
        </row>
        <row r="402">
          <cell r="A402" t="str">
            <v>2271</v>
          </cell>
          <cell r="B402" t="str">
            <v>GRAHAM STEWART HARRI</v>
          </cell>
        </row>
        <row r="403">
          <cell r="A403" t="str">
            <v>2272</v>
          </cell>
          <cell r="B403" t="str">
            <v>CLOUD TEMBO</v>
          </cell>
        </row>
        <row r="404">
          <cell r="A404" t="str">
            <v>2273</v>
          </cell>
          <cell r="B404" t="str">
            <v>Randy Ogayon Panesa</v>
          </cell>
        </row>
        <row r="405">
          <cell r="A405" t="str">
            <v>2274</v>
          </cell>
          <cell r="B405" t="str">
            <v>Peter Dominique Pare</v>
          </cell>
        </row>
        <row r="406">
          <cell r="A406" t="str">
            <v>2275</v>
          </cell>
          <cell r="B406" t="str">
            <v>Patricia Marie Sabas</v>
          </cell>
        </row>
        <row r="407">
          <cell r="A407" t="str">
            <v>2276</v>
          </cell>
          <cell r="B407" t="str">
            <v>Julius Agustus L. David</v>
          </cell>
        </row>
        <row r="408">
          <cell r="A408" t="str">
            <v>2277</v>
          </cell>
          <cell r="B408" t="str">
            <v>Yuta Kurihara</v>
          </cell>
        </row>
        <row r="409">
          <cell r="A409" t="str">
            <v>2278</v>
          </cell>
          <cell r="B409" t="str">
            <v>Shuma Kanata</v>
          </cell>
        </row>
        <row r="410">
          <cell r="A410" t="str">
            <v>2279</v>
          </cell>
          <cell r="B410" t="str">
            <v>Takashi Nishijima</v>
          </cell>
        </row>
        <row r="411">
          <cell r="A411" t="str">
            <v>2280</v>
          </cell>
          <cell r="B411" t="str">
            <v>Kathleen Magalong</v>
          </cell>
        </row>
        <row r="412">
          <cell r="A412" t="str">
            <v>2281</v>
          </cell>
          <cell r="B412" t="str">
            <v>Allan-Nur Anduhol</v>
          </cell>
        </row>
        <row r="413">
          <cell r="A413" t="str">
            <v>2282</v>
          </cell>
          <cell r="B413" t="str">
            <v>Zaldy Lastrollo</v>
          </cell>
        </row>
        <row r="414">
          <cell r="A414" t="str">
            <v>2283</v>
          </cell>
          <cell r="B414" t="str">
            <v>PUI CHING CHOW</v>
          </cell>
        </row>
        <row r="415">
          <cell r="A415" t="str">
            <v>2284</v>
          </cell>
          <cell r="B415" t="str">
            <v>Aziz Demirors</v>
          </cell>
        </row>
        <row r="416">
          <cell r="A416" t="str">
            <v>2285</v>
          </cell>
          <cell r="B416" t="str">
            <v>DONALD ROBERT MAY</v>
          </cell>
        </row>
        <row r="417">
          <cell r="A417" t="str">
            <v>2286</v>
          </cell>
          <cell r="B417" t="str">
            <v>Aung Kyaw Myint</v>
          </cell>
        </row>
        <row r="418">
          <cell r="A418" t="str">
            <v>2287</v>
          </cell>
          <cell r="B418" t="str">
            <v>Gerhardus Petrus Bronkhorst</v>
          </cell>
        </row>
        <row r="419">
          <cell r="A419" t="str">
            <v>2288</v>
          </cell>
          <cell r="B419" t="str">
            <v>Isao HARA</v>
          </cell>
        </row>
        <row r="420">
          <cell r="A420" t="str">
            <v>2289</v>
          </cell>
          <cell r="B420" t="str">
            <v>Angel Sheena T. Guias</v>
          </cell>
        </row>
        <row r="421">
          <cell r="A421" t="str">
            <v>2290</v>
          </cell>
          <cell r="B421" t="str">
            <v>Dande Begona</v>
          </cell>
        </row>
        <row r="422">
          <cell r="A422" t="str">
            <v>2291</v>
          </cell>
          <cell r="B422" t="str">
            <v>Luisito Luzon</v>
          </cell>
        </row>
        <row r="423">
          <cell r="A423" t="str">
            <v>2292</v>
          </cell>
          <cell r="B423" t="str">
            <v>Jay En Cagang</v>
          </cell>
        </row>
        <row r="424">
          <cell r="A424" t="str">
            <v>2293</v>
          </cell>
          <cell r="B424" t="str">
            <v>Abelardo Bagioro</v>
          </cell>
        </row>
        <row r="425">
          <cell r="A425" t="str">
            <v>2294</v>
          </cell>
          <cell r="B425" t="str">
            <v>Ellie Rose Bedona</v>
          </cell>
        </row>
        <row r="426">
          <cell r="A426" t="str">
            <v>2295</v>
          </cell>
          <cell r="B426" t="str">
            <v>Edmundo Onias</v>
          </cell>
        </row>
        <row r="427">
          <cell r="A427" t="str">
            <v>2296</v>
          </cell>
          <cell r="B427" t="str">
            <v>Arman Paham</v>
          </cell>
        </row>
        <row r="428">
          <cell r="A428" t="str">
            <v>2297</v>
          </cell>
          <cell r="B428" t="str">
            <v>Eden Alcarde</v>
          </cell>
        </row>
        <row r="429">
          <cell r="A429" t="str">
            <v>2298</v>
          </cell>
          <cell r="B429" t="str">
            <v>Charles Taroza</v>
          </cell>
        </row>
        <row r="430">
          <cell r="A430" t="str">
            <v>2299</v>
          </cell>
          <cell r="B430" t="str">
            <v>Margie Raz</v>
          </cell>
        </row>
        <row r="431">
          <cell r="A431" t="str">
            <v>2300</v>
          </cell>
          <cell r="B431" t="str">
            <v>Mark Necel Pascua</v>
          </cell>
        </row>
        <row r="432">
          <cell r="A432" t="str">
            <v>2301</v>
          </cell>
          <cell r="B432" t="str">
            <v>Jason Villoga</v>
          </cell>
        </row>
        <row r="433">
          <cell r="A433" t="str">
            <v>2302</v>
          </cell>
          <cell r="B433" t="str">
            <v>Michael Tesoro</v>
          </cell>
        </row>
        <row r="434">
          <cell r="A434" t="str">
            <v>2303</v>
          </cell>
          <cell r="B434" t="str">
            <v>Elmer Yabes</v>
          </cell>
        </row>
        <row r="435">
          <cell r="A435" t="str">
            <v>2304</v>
          </cell>
          <cell r="B435" t="str">
            <v>Augusto De Luna Gadduang Jr</v>
          </cell>
        </row>
        <row r="436">
          <cell r="A436" t="str">
            <v>2305</v>
          </cell>
          <cell r="B436" t="str">
            <v>Jacqueline Grance Edullantes</v>
          </cell>
        </row>
        <row r="437">
          <cell r="A437" t="str">
            <v>2306</v>
          </cell>
          <cell r="B437" t="str">
            <v>Nestor Jumao-as</v>
          </cell>
        </row>
        <row r="438">
          <cell r="A438" t="str">
            <v>2307</v>
          </cell>
          <cell r="B438" t="str">
            <v>Fige Galleros</v>
          </cell>
        </row>
        <row r="439">
          <cell r="A439" t="str">
            <v>2308</v>
          </cell>
          <cell r="B439" t="str">
            <v>Peter Mueller</v>
          </cell>
        </row>
        <row r="440">
          <cell r="A440" t="str">
            <v>2309</v>
          </cell>
          <cell r="B440" t="str">
            <v>Nerizzah D. Bautista</v>
          </cell>
        </row>
        <row r="441">
          <cell r="A441" t="str">
            <v>2310</v>
          </cell>
          <cell r="B441" t="str">
            <v>Armi T. Peregrino</v>
          </cell>
        </row>
        <row r="442">
          <cell r="A442" t="str">
            <v>2311</v>
          </cell>
          <cell r="B442" t="str">
            <v>Christine May F. Derafera</v>
          </cell>
        </row>
        <row r="443">
          <cell r="A443" t="str">
            <v>2312</v>
          </cell>
          <cell r="B443" t="str">
            <v>Armen Ria Toquero</v>
          </cell>
        </row>
        <row r="444">
          <cell r="A444" t="str">
            <v>2313</v>
          </cell>
          <cell r="B444" t="str">
            <v>Hong Joong Kim</v>
          </cell>
        </row>
        <row r="445">
          <cell r="A445" t="str">
            <v>2314</v>
          </cell>
          <cell r="B445" t="str">
            <v>Hansel Puzon</v>
          </cell>
        </row>
        <row r="446">
          <cell r="A446" t="str">
            <v>2315</v>
          </cell>
          <cell r="B446" t="str">
            <v>Anjanette Acma</v>
          </cell>
        </row>
        <row r="447">
          <cell r="A447" t="str">
            <v>2316</v>
          </cell>
          <cell r="B447" t="str">
            <v>Daniel Baptista</v>
          </cell>
        </row>
        <row r="448">
          <cell r="A448" t="str">
            <v>2317</v>
          </cell>
          <cell r="B448" t="str">
            <v>Devaney Kreye Ocampo</v>
          </cell>
        </row>
        <row r="449">
          <cell r="A449" t="str">
            <v>2318</v>
          </cell>
          <cell r="B449" t="str">
            <v>Kevin John Gutteridge</v>
          </cell>
        </row>
        <row r="450">
          <cell r="A450" t="str">
            <v>2319</v>
          </cell>
          <cell r="B450" t="str">
            <v>Rafael Sarabia Jr. (do not use this, use 4859 instead)</v>
          </cell>
        </row>
        <row r="451">
          <cell r="A451" t="str">
            <v>2320</v>
          </cell>
          <cell r="B451" t="str">
            <v>Yin Kwan Lee (do not use this, use 2260 instead)</v>
          </cell>
        </row>
        <row r="452">
          <cell r="A452" t="str">
            <v>2321</v>
          </cell>
          <cell r="B452" t="str">
            <v>Aung Kyaw Myint</v>
          </cell>
        </row>
        <row r="453">
          <cell r="A453" t="str">
            <v>2322</v>
          </cell>
          <cell r="B453" t="str">
            <v>Gerhardus Petrus Bronkhorst</v>
          </cell>
        </row>
        <row r="454">
          <cell r="A454" t="str">
            <v>2323</v>
          </cell>
          <cell r="B454" t="str">
            <v>Donald May (do not use this, use 2285 code instead)</v>
          </cell>
        </row>
        <row r="455">
          <cell r="A455" t="str">
            <v>2324</v>
          </cell>
          <cell r="B455" t="str">
            <v>Roa Fernandez</v>
          </cell>
        </row>
        <row r="456">
          <cell r="A456" t="str">
            <v>2325</v>
          </cell>
          <cell r="B456" t="str">
            <v>Kevin John Gutteridge</v>
          </cell>
        </row>
        <row r="457">
          <cell r="A457" t="str">
            <v>2326</v>
          </cell>
          <cell r="B457" t="str">
            <v>Hou Chuan Chim</v>
          </cell>
        </row>
        <row r="458">
          <cell r="A458" t="str">
            <v>2327</v>
          </cell>
          <cell r="B458" t="str">
            <v>Gervacio Baltazar</v>
          </cell>
        </row>
        <row r="459">
          <cell r="A459" t="str">
            <v>2328</v>
          </cell>
          <cell r="B459" t="str">
            <v>Mar Veran</v>
          </cell>
        </row>
        <row r="460">
          <cell r="A460" t="str">
            <v>2329</v>
          </cell>
          <cell r="B460" t="str">
            <v>Yotsawat Nithattumma</v>
          </cell>
        </row>
        <row r="461">
          <cell r="A461" t="str">
            <v>2330</v>
          </cell>
          <cell r="B461" t="str">
            <v>Jason Charles Gooch</v>
          </cell>
        </row>
        <row r="462">
          <cell r="A462" t="str">
            <v>2331</v>
          </cell>
          <cell r="B462" t="str">
            <v>Mohd Shuhaidi Bihn Muhammad</v>
          </cell>
        </row>
        <row r="463">
          <cell r="A463" t="str">
            <v>2332</v>
          </cell>
          <cell r="B463" t="str">
            <v>Asay Arami</v>
          </cell>
        </row>
        <row r="464">
          <cell r="A464" t="str">
            <v>2333</v>
          </cell>
          <cell r="B464" t="str">
            <v>Ron Gerby Felix</v>
          </cell>
        </row>
        <row r="465">
          <cell r="A465" t="str">
            <v>2334</v>
          </cell>
          <cell r="B465" t="str">
            <v>Kai Sumitomo</v>
          </cell>
        </row>
        <row r="466">
          <cell r="A466" t="str">
            <v>2335</v>
          </cell>
          <cell r="B466" t="str">
            <v>Reiji Ishima</v>
          </cell>
        </row>
        <row r="467">
          <cell r="A467" t="str">
            <v>2336</v>
          </cell>
          <cell r="B467" t="str">
            <v>Izzudin Hussain</v>
          </cell>
        </row>
        <row r="468">
          <cell r="A468" t="str">
            <v>2337</v>
          </cell>
          <cell r="B468" t="str">
            <v>Magdy Ibrahim</v>
          </cell>
        </row>
        <row r="469">
          <cell r="A469" t="str">
            <v>2338</v>
          </cell>
          <cell r="B469" t="str">
            <v>Anthony Allen</v>
          </cell>
        </row>
        <row r="470">
          <cell r="A470" t="str">
            <v>2339</v>
          </cell>
        </row>
        <row r="471">
          <cell r="A471" t="str">
            <v>2340</v>
          </cell>
        </row>
        <row r="473">
          <cell r="A473" t="str">
            <v>3000</v>
          </cell>
          <cell r="B473" t="str">
            <v>Various Payees</v>
          </cell>
        </row>
        <row r="474">
          <cell r="A474" t="str">
            <v>3001</v>
          </cell>
          <cell r="B474" t="str">
            <v>PBI</v>
          </cell>
        </row>
        <row r="475">
          <cell r="A475" t="str">
            <v>3002</v>
          </cell>
          <cell r="B475" t="str">
            <v>Engineering and Development Corp. of the Phils.</v>
          </cell>
        </row>
        <row r="476">
          <cell r="A476" t="str">
            <v>3003</v>
          </cell>
          <cell r="B476" t="str">
            <v>Basic Technology and Management Corp.</v>
          </cell>
        </row>
        <row r="477">
          <cell r="A477" t="str">
            <v>3004</v>
          </cell>
          <cell r="B477" t="str">
            <v>TCGI Engineers</v>
          </cell>
        </row>
        <row r="478">
          <cell r="A478" t="str">
            <v>3005</v>
          </cell>
          <cell r="B478" t="str">
            <v>J.F. Cancio and Associates</v>
          </cell>
        </row>
        <row r="479">
          <cell r="A479" t="str">
            <v>3006</v>
          </cell>
          <cell r="B479" t="str">
            <v>PCIA Philippines</v>
          </cell>
        </row>
        <row r="480">
          <cell r="A480" t="str">
            <v>3007</v>
          </cell>
          <cell r="B480" t="str">
            <v>Filipinas Dravo Corp.</v>
          </cell>
        </row>
        <row r="481">
          <cell r="A481" t="str">
            <v>3008</v>
          </cell>
          <cell r="B481" t="str">
            <v>Parsons Binkerhoff Philippines, Inc.</v>
          </cell>
        </row>
        <row r="482">
          <cell r="A482" t="str">
            <v>3009</v>
          </cell>
          <cell r="B482" t="str">
            <v>Demcor Inc.</v>
          </cell>
        </row>
        <row r="483">
          <cell r="A483" t="str">
            <v>3010</v>
          </cell>
          <cell r="B483" t="str">
            <v>PCIP</v>
          </cell>
        </row>
        <row r="484">
          <cell r="A484" t="str">
            <v>3011</v>
          </cell>
          <cell r="B484" t="str">
            <v>PMP Inc.</v>
          </cell>
        </row>
        <row r="485">
          <cell r="A485" t="str">
            <v>3012</v>
          </cell>
          <cell r="B485" t="str">
            <v>Metrolink Joint Venture</v>
          </cell>
        </row>
        <row r="486">
          <cell r="A486" t="str">
            <v>3013</v>
          </cell>
          <cell r="B486" t="str">
            <v>Pacific Consultants International Phils. Inc.</v>
          </cell>
        </row>
        <row r="487">
          <cell r="A487" t="str">
            <v>3014</v>
          </cell>
          <cell r="B487" t="str">
            <v>BPI FAO Bureau of Internal Revenue TIN-000-484-418</v>
          </cell>
        </row>
        <row r="488">
          <cell r="A488" t="str">
            <v>3015</v>
          </cell>
          <cell r="B488" t="str">
            <v>R.C. Paway Steel Manufacturers Corp</v>
          </cell>
        </row>
        <row r="489">
          <cell r="A489" t="str">
            <v>3016</v>
          </cell>
          <cell r="B489" t="str">
            <v>MaxiCorp. Inc</v>
          </cell>
        </row>
        <row r="490">
          <cell r="A490" t="str">
            <v>3017</v>
          </cell>
          <cell r="B490" t="str">
            <v>Pacific Consultants International</v>
          </cell>
        </row>
        <row r="491">
          <cell r="A491" t="str">
            <v>3018</v>
          </cell>
          <cell r="B491" t="str">
            <v>NFF Enterprises</v>
          </cell>
        </row>
        <row r="492">
          <cell r="A492" t="str">
            <v>3019</v>
          </cell>
          <cell r="B492" t="str">
            <v>Pacific Consultants International Asia Inc.</v>
          </cell>
        </row>
        <row r="493">
          <cell r="A493" t="str">
            <v>3020</v>
          </cell>
          <cell r="B493" t="str">
            <v>DHL Express (Philippines) Corporation</v>
          </cell>
        </row>
        <row r="494">
          <cell r="A494" t="str">
            <v>3021</v>
          </cell>
          <cell r="B494" t="str">
            <v>Pacific Consultants International Phil. Branch</v>
          </cell>
        </row>
        <row r="495">
          <cell r="A495" t="str">
            <v>3022</v>
          </cell>
          <cell r="B495" t="str">
            <v>Beatriz B. Atienza</v>
          </cell>
        </row>
        <row r="496">
          <cell r="A496" t="str">
            <v>3023</v>
          </cell>
          <cell r="B496" t="str">
            <v>Parker Faustino Pagayatan Law Offices</v>
          </cell>
        </row>
        <row r="497">
          <cell r="A497" t="str">
            <v>3024</v>
          </cell>
          <cell r="B497" t="str">
            <v>Blue Horizons Travel and Tours, Inc.</v>
          </cell>
        </row>
        <row r="498">
          <cell r="A498" t="str">
            <v>3025</v>
          </cell>
          <cell r="B498" t="str">
            <v>FPD Asia Property Services, Inc.</v>
          </cell>
        </row>
        <row r="499">
          <cell r="A499" t="str">
            <v>3026</v>
          </cell>
          <cell r="B499" t="str">
            <v>Bank of Philippine Islands</v>
          </cell>
        </row>
        <row r="500">
          <cell r="A500" t="str">
            <v>3027</v>
          </cell>
          <cell r="B500" t="str">
            <v>Wilfredo J. Pantig</v>
          </cell>
        </row>
        <row r="501">
          <cell r="A501" t="str">
            <v>3028</v>
          </cell>
          <cell r="B501" t="str">
            <v>Paseo Parkview Suites Condo. Asso., Inc.</v>
          </cell>
        </row>
        <row r="502">
          <cell r="A502" t="str">
            <v>3029</v>
          </cell>
          <cell r="B502" t="str">
            <v>Rufino Pacific Tower Condominium Corp.</v>
          </cell>
        </row>
        <row r="503">
          <cell r="A503" t="str">
            <v>3030</v>
          </cell>
          <cell r="B503" t="str">
            <v>Seryna Restaurant</v>
          </cell>
        </row>
        <row r="504">
          <cell r="A504" t="str">
            <v>3031</v>
          </cell>
          <cell r="B504" t="str">
            <v>Rene S. Santiago</v>
          </cell>
        </row>
        <row r="505">
          <cell r="A505" t="str">
            <v>3032</v>
          </cell>
          <cell r="B505" t="str">
            <v>The Japanese Association Manila Inc.</v>
          </cell>
        </row>
        <row r="506">
          <cell r="A506" t="str">
            <v>3033</v>
          </cell>
          <cell r="B506" t="str">
            <v>PTS Corporation</v>
          </cell>
        </row>
        <row r="507">
          <cell r="A507" t="str">
            <v>3034</v>
          </cell>
          <cell r="B507" t="str">
            <v>Motivation Tours and Travel Corporation</v>
          </cell>
        </row>
        <row r="508">
          <cell r="A508" t="str">
            <v>3035</v>
          </cell>
          <cell r="B508" t="str">
            <v>PLDT</v>
          </cell>
        </row>
        <row r="509">
          <cell r="A509" t="str">
            <v>3036</v>
          </cell>
          <cell r="B509" t="str">
            <v>The Japanese Chamber of Commerce and Industry of the Philippines, Inc.</v>
          </cell>
        </row>
        <row r="510">
          <cell r="A510" t="str">
            <v>3037</v>
          </cell>
          <cell r="B510" t="str">
            <v>Edmar S. Valentino</v>
          </cell>
        </row>
        <row r="511">
          <cell r="A511" t="str">
            <v>3038</v>
          </cell>
          <cell r="B511" t="str">
            <v>Maria Theresia Nalda Delena</v>
          </cell>
        </row>
        <row r="512">
          <cell r="A512" t="str">
            <v>3039</v>
          </cell>
          <cell r="B512" t="str">
            <v>Airfreight 2100, Inc.</v>
          </cell>
        </row>
        <row r="513">
          <cell r="A513" t="str">
            <v>3040</v>
          </cell>
          <cell r="B513" t="str">
            <v>TSPA Joint Venture</v>
          </cell>
        </row>
        <row r="514">
          <cell r="A514" t="str">
            <v>3041</v>
          </cell>
          <cell r="B514" t="str">
            <v>Standard Insurance</v>
          </cell>
        </row>
        <row r="515">
          <cell r="A515" t="str">
            <v>3042</v>
          </cell>
          <cell r="B515" t="str">
            <v>Office Warehouse, Inc.</v>
          </cell>
        </row>
        <row r="516">
          <cell r="A516" t="str">
            <v>3043</v>
          </cell>
          <cell r="B516" t="str">
            <v>Power Mac Center Inc</v>
          </cell>
        </row>
        <row r="517">
          <cell r="A517" t="str">
            <v>3044</v>
          </cell>
          <cell r="B517" t="str">
            <v>The Maritime League</v>
          </cell>
        </row>
        <row r="518">
          <cell r="A518" t="str">
            <v>3045</v>
          </cell>
          <cell r="B518" t="str">
            <v>Wide Wide World Express Corp</v>
          </cell>
        </row>
        <row r="519">
          <cell r="A519" t="str">
            <v>3046</v>
          </cell>
          <cell r="B519" t="str">
            <v>Mantrade Development Corporation</v>
          </cell>
        </row>
        <row r="520">
          <cell r="A520" t="str">
            <v>3047</v>
          </cell>
          <cell r="B520" t="str">
            <v>TNT Express Worldwide (Phils.) Inc</v>
          </cell>
        </row>
        <row r="521">
          <cell r="A521" t="str">
            <v>3048</v>
          </cell>
          <cell r="B521" t="str">
            <v>Wilfredo Trinidad</v>
          </cell>
        </row>
        <row r="522">
          <cell r="A522" t="str">
            <v>3049</v>
          </cell>
          <cell r="B522" t="str">
            <v>Porfirio H. Nabos</v>
          </cell>
        </row>
        <row r="523">
          <cell r="A523" t="str">
            <v>3050</v>
          </cell>
          <cell r="B523" t="str">
            <v>OCS Republic Courier Services, Inc.</v>
          </cell>
        </row>
        <row r="524">
          <cell r="A524" t="str">
            <v>3051</v>
          </cell>
          <cell r="B524" t="str">
            <v>Asian International Community Information, Inc.</v>
          </cell>
        </row>
        <row r="525">
          <cell r="A525" t="str">
            <v>3052</v>
          </cell>
          <cell r="B525" t="str">
            <v>Chronicle Insurance Agency, Inc.</v>
          </cell>
        </row>
        <row r="526">
          <cell r="A526" t="str">
            <v>3053</v>
          </cell>
          <cell r="B526" t="str">
            <v>Punongbayan and Araullo</v>
          </cell>
        </row>
        <row r="527">
          <cell r="A527" t="str">
            <v>3054</v>
          </cell>
          <cell r="B527" t="str">
            <v>Marilou C. Gonzaga</v>
          </cell>
        </row>
        <row r="528">
          <cell r="A528" t="str">
            <v>3055</v>
          </cell>
          <cell r="B528" t="str">
            <v>Ermitano, Manzano, Reodica and Associates</v>
          </cell>
        </row>
        <row r="529">
          <cell r="A529" t="str">
            <v>3056</v>
          </cell>
          <cell r="B529" t="str">
            <v>Philam Insurance Company, Inc.</v>
          </cell>
        </row>
        <row r="530">
          <cell r="A530" t="str">
            <v>3057</v>
          </cell>
          <cell r="B530" t="str">
            <v>Masaya Realty Co. Inc.</v>
          </cell>
        </row>
        <row r="531">
          <cell r="A531" t="str">
            <v>3058</v>
          </cell>
          <cell r="B531" t="str">
            <v>Makati City Microshop</v>
          </cell>
        </row>
        <row r="532">
          <cell r="A532" t="str">
            <v>3059</v>
          </cell>
          <cell r="B532" t="str">
            <v>Mercury Drug Corp.</v>
          </cell>
        </row>
        <row r="533">
          <cell r="A533" t="str">
            <v>3060</v>
          </cell>
          <cell r="B533" t="str">
            <v>Executive International Movers, Inc.</v>
          </cell>
        </row>
        <row r="534">
          <cell r="A534" t="str">
            <v>3061</v>
          </cell>
          <cell r="B534" t="str">
            <v>Altec Industrial Services and Trading Inc.</v>
          </cell>
        </row>
        <row r="535">
          <cell r="A535" t="str">
            <v>3062</v>
          </cell>
          <cell r="B535" t="str">
            <v>KDDI Philippines Corporation</v>
          </cell>
        </row>
        <row r="536">
          <cell r="A536" t="str">
            <v>3063</v>
          </cell>
          <cell r="B536" t="str">
            <v>Exact Software Philippines, Inc.</v>
          </cell>
        </row>
        <row r="537">
          <cell r="A537" t="str">
            <v>3064</v>
          </cell>
          <cell r="B537" t="str">
            <v>Ansons Emporium Corp.</v>
          </cell>
        </row>
        <row r="538">
          <cell r="A538" t="str">
            <v>3065</v>
          </cell>
          <cell r="B538" t="str">
            <v>Lydias Lechon</v>
          </cell>
        </row>
        <row r="539">
          <cell r="A539" t="str">
            <v>3066</v>
          </cell>
          <cell r="B539" t="str">
            <v>Pro-Access</v>
          </cell>
        </row>
        <row r="540">
          <cell r="A540" t="str">
            <v>3067</v>
          </cell>
          <cell r="B540" t="str">
            <v>Carepak Moving and Storage Inc.</v>
          </cell>
        </row>
        <row r="541">
          <cell r="A541" t="str">
            <v>3068</v>
          </cell>
          <cell r="B541" t="str">
            <v>Carpet Collection Inc.</v>
          </cell>
        </row>
        <row r="542">
          <cell r="A542" t="str">
            <v>3069</v>
          </cell>
          <cell r="B542" t="str">
            <v>Globe Telecom, Inc.</v>
          </cell>
        </row>
        <row r="543">
          <cell r="A543" t="str">
            <v>3070</v>
          </cell>
          <cell r="B543" t="str">
            <v>JG Food Venture Inc.</v>
          </cell>
        </row>
        <row r="544">
          <cell r="A544" t="str">
            <v>3071</v>
          </cell>
          <cell r="B544" t="str">
            <v>Proquest Publishing Inc.</v>
          </cell>
        </row>
        <row r="545">
          <cell r="A545" t="str">
            <v>3072</v>
          </cell>
          <cell r="B545" t="str">
            <v>Philscan Travel and Tours Inc.</v>
          </cell>
        </row>
        <row r="546">
          <cell r="A546" t="str">
            <v>3073</v>
          </cell>
          <cell r="B546" t="str">
            <v>Canon Marketing (Philippines) Inc.</v>
          </cell>
        </row>
        <row r="547">
          <cell r="A547" t="str">
            <v>3074</v>
          </cell>
          <cell r="B547" t="str">
            <v>Micro Gold Information Solution and Products Inc.</v>
          </cell>
        </row>
        <row r="548">
          <cell r="A548" t="str">
            <v>3075</v>
          </cell>
          <cell r="B548" t="str">
            <v>CAR and Recreational Vehicles, Inc.</v>
          </cell>
        </row>
        <row r="549">
          <cell r="A549" t="str">
            <v>3076</v>
          </cell>
          <cell r="B549" t="str">
            <v>Social Security System</v>
          </cell>
        </row>
        <row r="550">
          <cell r="A550" t="str">
            <v>3077</v>
          </cell>
          <cell r="B550" t="str">
            <v>Home Development Mutual Fund</v>
          </cell>
        </row>
        <row r="551">
          <cell r="A551" t="str">
            <v>3078</v>
          </cell>
          <cell r="B551" t="str">
            <v>Philippine Health and Insurance Corp.</v>
          </cell>
        </row>
        <row r="552">
          <cell r="A552" t="str">
            <v>3079</v>
          </cell>
          <cell r="B552" t="str">
            <v>Innove Communications, Inc.</v>
          </cell>
        </row>
        <row r="553">
          <cell r="A553" t="str">
            <v>3080</v>
          </cell>
          <cell r="B553" t="str">
            <v>The Landmark Corporation</v>
          </cell>
        </row>
        <row r="554">
          <cell r="A554" t="str">
            <v>3081</v>
          </cell>
          <cell r="B554" t="str">
            <v>LBC Express-Min, Inc.</v>
          </cell>
        </row>
        <row r="555">
          <cell r="A555" t="str">
            <v>3082</v>
          </cell>
          <cell r="B555" t="str">
            <v>Mother Earth Water Station</v>
          </cell>
        </row>
        <row r="556">
          <cell r="A556" t="str">
            <v>3083</v>
          </cell>
          <cell r="B556" t="str">
            <v>Petron Marketing Corp.</v>
          </cell>
        </row>
        <row r="557">
          <cell r="A557" t="str">
            <v>3084</v>
          </cell>
          <cell r="B557" t="str">
            <v>Mr. Quickie Corp</v>
          </cell>
        </row>
        <row r="558">
          <cell r="A558" t="str">
            <v>3085</v>
          </cell>
          <cell r="B558" t="str">
            <v>Magallanes Mgt Corp</v>
          </cell>
        </row>
        <row r="559">
          <cell r="A559" t="str">
            <v>3086</v>
          </cell>
          <cell r="B559" t="str">
            <v>City Treasurer of Makati City</v>
          </cell>
        </row>
        <row r="560">
          <cell r="A560" t="str">
            <v>3087</v>
          </cell>
          <cell r="B560" t="str">
            <v>VAR Business Center, Inc.</v>
          </cell>
        </row>
        <row r="561">
          <cell r="A561" t="str">
            <v>3088</v>
          </cell>
          <cell r="B561" t="str">
            <v>OMNI International Consultants, Inc.</v>
          </cell>
        </row>
        <row r="562">
          <cell r="A562" t="str">
            <v>3089</v>
          </cell>
          <cell r="B562" t="str">
            <v>FUJIFILM Business Innovation Philippines Corp</v>
          </cell>
        </row>
        <row r="563">
          <cell r="A563" t="str">
            <v>3090</v>
          </cell>
          <cell r="B563" t="str">
            <v>Oriental Consultants Global Co. Ltd.</v>
          </cell>
        </row>
        <row r="564">
          <cell r="A564" t="str">
            <v>3091</v>
          </cell>
          <cell r="B564" t="str">
            <v>Haverhill Enterprise</v>
          </cell>
        </row>
        <row r="565">
          <cell r="A565" t="str">
            <v>3092</v>
          </cell>
          <cell r="B565" t="str">
            <v>Gertrudo A. De Leon</v>
          </cell>
        </row>
        <row r="566">
          <cell r="A566" t="str">
            <v>3093</v>
          </cell>
          <cell r="B566" t="str">
            <v>Richgod Marketing</v>
          </cell>
        </row>
        <row r="567">
          <cell r="A567" t="str">
            <v>3094</v>
          </cell>
          <cell r="B567" t="str">
            <v>BPI Subic Branch</v>
          </cell>
        </row>
        <row r="568">
          <cell r="A568" t="str">
            <v>3095</v>
          </cell>
          <cell r="B568" t="str">
            <v>Geotechnics Phils., Inc.</v>
          </cell>
        </row>
        <row r="569">
          <cell r="A569" t="str">
            <v>3096</v>
          </cell>
          <cell r="B569" t="str">
            <v>Infra Consultants in the Philippines</v>
          </cell>
        </row>
        <row r="570">
          <cell r="A570" t="str">
            <v>3097</v>
          </cell>
          <cell r="B570" t="str">
            <v>Douglas Lawson</v>
          </cell>
        </row>
        <row r="571">
          <cell r="A571" t="str">
            <v>3098</v>
          </cell>
          <cell r="B571" t="str">
            <v>Aguilos Signs System</v>
          </cell>
        </row>
        <row r="572">
          <cell r="A572" t="str">
            <v>3099</v>
          </cell>
          <cell r="B572" t="str">
            <v>UCS Computer Service Center</v>
          </cell>
        </row>
        <row r="573">
          <cell r="A573" t="str">
            <v>3100</v>
          </cell>
          <cell r="B573" t="str">
            <v>Ansons Auto Service Center Inc</v>
          </cell>
        </row>
        <row r="574">
          <cell r="A574" t="str">
            <v>3101</v>
          </cell>
          <cell r="B574" t="str">
            <v>MC Home Depot</v>
          </cell>
        </row>
        <row r="575">
          <cell r="A575" t="str">
            <v>3102</v>
          </cell>
          <cell r="B575" t="str">
            <v>Ace Hardware Philippines Inc.</v>
          </cell>
        </row>
        <row r="576">
          <cell r="A576" t="str">
            <v>3103</v>
          </cell>
          <cell r="B576" t="str">
            <v>Automatic Appliances Inc</v>
          </cell>
        </row>
        <row r="577">
          <cell r="A577" t="str">
            <v>3104</v>
          </cell>
          <cell r="B577" t="str">
            <v>Asian Home Hardware-Global City Branch</v>
          </cell>
        </row>
        <row r="578">
          <cell r="A578" t="str">
            <v>3105</v>
          </cell>
          <cell r="B578" t="str">
            <v>Wilcon Builder's Depot</v>
          </cell>
        </row>
        <row r="579">
          <cell r="A579" t="str">
            <v>3106</v>
          </cell>
          <cell r="B579" t="str">
            <v>Radiant Printing Service</v>
          </cell>
        </row>
        <row r="580">
          <cell r="A580" t="str">
            <v>3107</v>
          </cell>
          <cell r="B580" t="str">
            <v>Hubertus Robert de Kruyff andor Paulina Dethan</v>
          </cell>
        </row>
        <row r="581">
          <cell r="A581" t="str">
            <v>3108</v>
          </cell>
          <cell r="B581" t="str">
            <v>Made 'M Printing Services, Inc.</v>
          </cell>
        </row>
        <row r="582">
          <cell r="A582" t="str">
            <v>3109</v>
          </cell>
          <cell r="B582" t="str">
            <v>Triple A Car Rental Services</v>
          </cell>
        </row>
        <row r="583">
          <cell r="A583" t="str">
            <v>3110</v>
          </cell>
          <cell r="B583" t="str">
            <v>ESV Car Services</v>
          </cell>
        </row>
        <row r="584">
          <cell r="A584" t="str">
            <v>3111</v>
          </cell>
          <cell r="B584" t="str">
            <v>Financial Building (Subic Bay) Corporation</v>
          </cell>
        </row>
        <row r="585">
          <cell r="A585" t="str">
            <v>3112</v>
          </cell>
          <cell r="B585" t="str">
            <v>Smart Broadband, Inc.</v>
          </cell>
        </row>
        <row r="586">
          <cell r="A586" t="str">
            <v>3113</v>
          </cell>
          <cell r="B586" t="str">
            <v>Honda Cars Makati City, Inc.</v>
          </cell>
        </row>
        <row r="587">
          <cell r="A587" t="str">
            <v>3114</v>
          </cell>
          <cell r="B587" t="str">
            <v>Makati City Shangri-La</v>
          </cell>
        </row>
        <row r="588">
          <cell r="A588" t="str">
            <v>3115</v>
          </cell>
          <cell r="B588" t="str">
            <v>Famous Frame Shop</v>
          </cell>
        </row>
        <row r="589">
          <cell r="A589" t="str">
            <v>3116</v>
          </cell>
          <cell r="B589" t="str">
            <v>Accent Systems Inc.</v>
          </cell>
        </row>
        <row r="590">
          <cell r="A590" t="str">
            <v>3117</v>
          </cell>
          <cell r="B590" t="str">
            <v>David Link (Manila) Corporation</v>
          </cell>
        </row>
        <row r="591">
          <cell r="A591" t="str">
            <v>3118</v>
          </cell>
          <cell r="B591" t="str">
            <v>Almega Trading</v>
          </cell>
        </row>
        <row r="592">
          <cell r="A592" t="str">
            <v>3119</v>
          </cell>
          <cell r="B592" t="str">
            <v>Freeport Service Corporation</v>
          </cell>
        </row>
        <row r="593">
          <cell r="A593" t="str">
            <v>3120</v>
          </cell>
          <cell r="B593" t="str">
            <v>Moonbay Marina Restaurant &amp; Entertainment Corp.</v>
          </cell>
        </row>
        <row r="594">
          <cell r="A594" t="str">
            <v>3121</v>
          </cell>
          <cell r="B594" t="str">
            <v>Subic Homes, Inc.</v>
          </cell>
        </row>
        <row r="595">
          <cell r="A595" t="str">
            <v>3122</v>
          </cell>
          <cell r="B595" t="str">
            <v>DCCD Engineering Corporation</v>
          </cell>
        </row>
        <row r="596">
          <cell r="A596" t="str">
            <v>3123</v>
          </cell>
          <cell r="B596" t="str">
            <v>Subic Enerzone Corporation</v>
          </cell>
        </row>
        <row r="597">
          <cell r="A597" t="str">
            <v>3124</v>
          </cell>
          <cell r="B597" t="str">
            <v>Crown Peak Estate Developers, Inc.</v>
          </cell>
        </row>
        <row r="598">
          <cell r="A598" t="str">
            <v>3125</v>
          </cell>
          <cell r="B598" t="str">
            <v>CS &amp; T Subic, Inc.</v>
          </cell>
        </row>
        <row r="599">
          <cell r="A599" t="str">
            <v>3126</v>
          </cell>
          <cell r="B599" t="str">
            <v>Subic Telecommunications Co., Inc.</v>
          </cell>
        </row>
        <row r="600">
          <cell r="A600" t="str">
            <v>3127</v>
          </cell>
          <cell r="B600" t="str">
            <v>Grandview ATJB Corp.</v>
          </cell>
        </row>
        <row r="601">
          <cell r="A601" t="str">
            <v>3128</v>
          </cell>
          <cell r="B601" t="str">
            <v>Stars Travel, Inc.</v>
          </cell>
        </row>
        <row r="602">
          <cell r="A602" t="str">
            <v>3129</v>
          </cell>
          <cell r="B602" t="str">
            <v>Number 1 Transport Facilitator Services</v>
          </cell>
        </row>
        <row r="603">
          <cell r="A603" t="str">
            <v>3130</v>
          </cell>
          <cell r="B603" t="str">
            <v>Holiday Plaza Hotel</v>
          </cell>
        </row>
        <row r="604">
          <cell r="A604" t="str">
            <v>3131</v>
          </cell>
          <cell r="B604" t="str">
            <v>Amorsolo Mansion</v>
          </cell>
        </row>
        <row r="605">
          <cell r="A605" t="str">
            <v>3132</v>
          </cell>
          <cell r="B605" t="str">
            <v>Oriental Consultants Co. Ltd. </v>
          </cell>
        </row>
        <row r="606">
          <cell r="A606" t="str">
            <v>3133</v>
          </cell>
          <cell r="B606" t="str">
            <v>Vasco's Hotel and Restaurant and Maritime Museum</v>
          </cell>
        </row>
        <row r="607">
          <cell r="A607" t="str">
            <v>3134</v>
          </cell>
          <cell r="B607" t="str">
            <v>JCJDJ Car Rental</v>
          </cell>
        </row>
        <row r="608">
          <cell r="A608">
            <v>3135</v>
          </cell>
          <cell r="B608" t="str">
            <v>Super 8 Grocery Warehouse</v>
          </cell>
        </row>
        <row r="609">
          <cell r="A609" t="str">
            <v>3136</v>
          </cell>
          <cell r="B609" t="str">
            <v>Aqua Dane Purified Drinking Water</v>
          </cell>
        </row>
        <row r="610">
          <cell r="A610" t="str">
            <v>3137</v>
          </cell>
          <cell r="B610" t="str">
            <v>Aqua Blue Water System Inc.</v>
          </cell>
        </row>
        <row r="611">
          <cell r="A611" t="str">
            <v>3138</v>
          </cell>
          <cell r="B611" t="str">
            <v>Lucky Charm Jewelry Store</v>
          </cell>
        </row>
        <row r="612">
          <cell r="A612" t="str">
            <v>3139</v>
          </cell>
          <cell r="B612" t="str">
            <v>Atty. Lope Velasco</v>
          </cell>
        </row>
        <row r="613">
          <cell r="A613" t="str">
            <v>3140</v>
          </cell>
          <cell r="B613" t="str">
            <v>Tridel Technologies, Inc.</v>
          </cell>
        </row>
        <row r="614">
          <cell r="A614" t="str">
            <v>3141</v>
          </cell>
          <cell r="B614" t="str">
            <v>Manila International Airport Authority</v>
          </cell>
        </row>
        <row r="615">
          <cell r="A615" t="str">
            <v>3142</v>
          </cell>
          <cell r="B615" t="str">
            <v>Geege Shopper's Mart</v>
          </cell>
        </row>
        <row r="616">
          <cell r="A616" t="str">
            <v>3143</v>
          </cell>
          <cell r="B616" t="str">
            <v>MERALCO</v>
          </cell>
        </row>
        <row r="617">
          <cell r="A617" t="str">
            <v>3144</v>
          </cell>
          <cell r="B617" t="str">
            <v>LBC Express-Vis, Inc.</v>
          </cell>
        </row>
        <row r="618">
          <cell r="A618" t="str">
            <v>3145</v>
          </cell>
          <cell r="B618" t="str">
            <v>DVC Foods</v>
          </cell>
        </row>
        <row r="619">
          <cell r="A619" t="str">
            <v>3146</v>
          </cell>
          <cell r="B619" t="str">
            <v>SBG Merchandising</v>
          </cell>
        </row>
        <row r="620">
          <cell r="A620" t="str">
            <v>3147</v>
          </cell>
          <cell r="B620" t="str">
            <v>Holiday Inn Clark Philippines</v>
          </cell>
        </row>
        <row r="621">
          <cell r="A621" t="str">
            <v>3148</v>
          </cell>
          <cell r="B621" t="str">
            <v>Arnelo C. Malinao</v>
          </cell>
        </row>
        <row r="622">
          <cell r="A622" t="str">
            <v>3149</v>
          </cell>
          <cell r="B622" t="str">
            <v>Kayla's Purified Water Station</v>
          </cell>
        </row>
        <row r="623">
          <cell r="A623" t="str">
            <v>3150</v>
          </cell>
          <cell r="B623" t="str">
            <v>Gilmore Corporation</v>
          </cell>
        </row>
        <row r="624">
          <cell r="A624" t="str">
            <v>3151</v>
          </cell>
          <cell r="B624" t="str">
            <v>Precision Tek Motor Service Corporation</v>
          </cell>
        </row>
        <row r="625">
          <cell r="A625" t="str">
            <v>3152</v>
          </cell>
          <cell r="B625" t="str">
            <v>Golden Trade Enterprises</v>
          </cell>
        </row>
        <row r="626">
          <cell r="A626" t="str">
            <v>3153</v>
          </cell>
          <cell r="B626" t="str">
            <v>Nihonryori Sakura Restaurant</v>
          </cell>
        </row>
        <row r="627">
          <cell r="A627" t="str">
            <v>3154</v>
          </cell>
          <cell r="B627" t="str">
            <v>Air 2100, Inc.</v>
          </cell>
        </row>
        <row r="628">
          <cell r="A628" t="str">
            <v>3155</v>
          </cell>
          <cell r="B628" t="str">
            <v>Penta-Shimizu-TOA Joint Venture</v>
          </cell>
        </row>
        <row r="629">
          <cell r="A629" t="str">
            <v>3156</v>
          </cell>
          <cell r="B629" t="str">
            <v>Subic Water &amp; Sewerage Company, Inc.</v>
          </cell>
        </row>
        <row r="630">
          <cell r="A630" t="str">
            <v>3157</v>
          </cell>
          <cell r="B630" t="str">
            <v>Landbank of the Philippines</v>
          </cell>
        </row>
        <row r="631">
          <cell r="A631" t="str">
            <v>3158</v>
          </cell>
          <cell r="B631" t="str">
            <v>News Tech Marketing</v>
          </cell>
        </row>
        <row r="632">
          <cell r="A632" t="str">
            <v>3159</v>
          </cell>
          <cell r="B632" t="str">
            <v>Microserver Information System</v>
          </cell>
        </row>
        <row r="633">
          <cell r="A633" t="str">
            <v>3160</v>
          </cell>
          <cell r="B633" t="str">
            <v>Komstak, Inc.</v>
          </cell>
        </row>
        <row r="634">
          <cell r="A634" t="str">
            <v>3161</v>
          </cell>
          <cell r="B634" t="str">
            <v>0303 General Merchandise</v>
          </cell>
        </row>
        <row r="635">
          <cell r="A635" t="str">
            <v>3162</v>
          </cell>
          <cell r="B635" t="str">
            <v>Silverdale Hardware</v>
          </cell>
        </row>
        <row r="636">
          <cell r="A636" t="str">
            <v>3163</v>
          </cell>
          <cell r="B636" t="str">
            <v>Philippine Seven Corp.</v>
          </cell>
        </row>
        <row r="637">
          <cell r="A637" t="str">
            <v>3164</v>
          </cell>
          <cell r="B637" t="str">
            <v>Chowking Metropolitan Branch</v>
          </cell>
        </row>
        <row r="638">
          <cell r="A638" t="str">
            <v>3165</v>
          </cell>
          <cell r="B638" t="str">
            <v>New Brixton Bazaar</v>
          </cell>
        </row>
        <row r="639">
          <cell r="A639" t="str">
            <v>3166</v>
          </cell>
          <cell r="B639" t="str">
            <v>National Bookstore</v>
          </cell>
        </row>
        <row r="640">
          <cell r="A640" t="str">
            <v>3167</v>
          </cell>
          <cell r="B640" t="str">
            <v>Megaworld Corporation</v>
          </cell>
        </row>
        <row r="641">
          <cell r="A641" t="str">
            <v>3168</v>
          </cell>
          <cell r="B641" t="str">
            <v>Annabelle Basa</v>
          </cell>
        </row>
        <row r="642">
          <cell r="A642" t="str">
            <v>3169</v>
          </cell>
          <cell r="B642" t="str">
            <v>Aqua 2000</v>
          </cell>
        </row>
        <row r="643">
          <cell r="A643" t="str">
            <v>3170</v>
          </cell>
          <cell r="B643" t="str">
            <v>Imperial Palace Suites Inc.</v>
          </cell>
        </row>
        <row r="644">
          <cell r="A644" t="str">
            <v>3171</v>
          </cell>
          <cell r="B644" t="str">
            <v>Ronald Dimaunaha or Allan Tatierra</v>
          </cell>
        </row>
        <row r="645">
          <cell r="A645" t="str">
            <v>3172</v>
          </cell>
          <cell r="B645" t="str">
            <v>Imelda Brotonel or Rizalino De Socorro</v>
          </cell>
        </row>
        <row r="646">
          <cell r="A646" t="str">
            <v>3173</v>
          </cell>
          <cell r="B646" t="str">
            <v>Renardet S.A. Consulting Engineers</v>
          </cell>
        </row>
        <row r="647">
          <cell r="A647" t="str">
            <v>3174</v>
          </cell>
          <cell r="B647" t="str">
            <v>Teodora Corpuz</v>
          </cell>
        </row>
        <row r="648">
          <cell r="A648" t="str">
            <v>3175</v>
          </cell>
          <cell r="B648" t="str">
            <v>Maria Theresa Sullano</v>
          </cell>
        </row>
        <row r="649">
          <cell r="A649" t="str">
            <v>3176</v>
          </cell>
          <cell r="B649" t="str">
            <v>Everest 1865 Computer Center</v>
          </cell>
        </row>
        <row r="650">
          <cell r="A650" t="str">
            <v>3177</v>
          </cell>
          <cell r="B650" t="str">
            <v>Office Line Enterprises</v>
          </cell>
        </row>
        <row r="651">
          <cell r="A651" t="str">
            <v>3178</v>
          </cell>
          <cell r="B651" t="str">
            <v>Belaro &amp; Associates</v>
          </cell>
        </row>
        <row r="652">
          <cell r="A652" t="str">
            <v>3179</v>
          </cell>
          <cell r="B652" t="str">
            <v>Villman Computer Systems Inc.</v>
          </cell>
        </row>
        <row r="653">
          <cell r="A653" t="str">
            <v>3180</v>
          </cell>
          <cell r="B653" t="str">
            <v>Ed Nabua</v>
          </cell>
        </row>
        <row r="654">
          <cell r="A654" t="str">
            <v>3181</v>
          </cell>
          <cell r="B654" t="str">
            <v>Renato Espinas</v>
          </cell>
        </row>
        <row r="655">
          <cell r="A655" t="str">
            <v>3182</v>
          </cell>
          <cell r="B655" t="str">
            <v>West Ave. Shell Service Station</v>
          </cell>
        </row>
        <row r="656">
          <cell r="A656" t="str">
            <v>3183</v>
          </cell>
          <cell r="B656" t="str">
            <v>O' Newspaper</v>
          </cell>
        </row>
        <row r="657">
          <cell r="A657" t="str">
            <v>3184</v>
          </cell>
          <cell r="B657" t="str">
            <v>Leyte II Electric Cooperative, Inc.</v>
          </cell>
        </row>
        <row r="658">
          <cell r="A658" t="str">
            <v>3185</v>
          </cell>
          <cell r="B658" t="str">
            <v>Powerbucks Car Spa</v>
          </cell>
        </row>
        <row r="659">
          <cell r="A659" t="str">
            <v>3186</v>
          </cell>
          <cell r="B659" t="str">
            <v>Edcor Apartelle</v>
          </cell>
        </row>
        <row r="660">
          <cell r="A660" t="str">
            <v>3187</v>
          </cell>
          <cell r="B660" t="str">
            <v>Rizalino S. del Socorro and Imelda Brotonel</v>
          </cell>
        </row>
        <row r="661">
          <cell r="A661" t="str">
            <v>3188</v>
          </cell>
          <cell r="B661" t="str">
            <v>Crown Paper and Stationery Supply</v>
          </cell>
        </row>
        <row r="662">
          <cell r="A662" t="str">
            <v>3189</v>
          </cell>
          <cell r="B662" t="str">
            <v>Cagayan Electric Power &amp; Light Company Inc.</v>
          </cell>
        </row>
        <row r="663">
          <cell r="A663" t="str">
            <v>3190</v>
          </cell>
          <cell r="B663" t="str">
            <v>Limbos Enterprises, Inc.</v>
          </cell>
        </row>
        <row r="664">
          <cell r="A664" t="str">
            <v>3191</v>
          </cell>
          <cell r="B664" t="str">
            <v>Unipace Corporation</v>
          </cell>
        </row>
        <row r="665">
          <cell r="A665" t="str">
            <v>3192</v>
          </cell>
          <cell r="B665" t="str">
            <v>Big 8 Ventures Co. Inc.</v>
          </cell>
        </row>
        <row r="666">
          <cell r="A666" t="str">
            <v>3193</v>
          </cell>
          <cell r="B666" t="str">
            <v>Engr. AM Labatos</v>
          </cell>
        </row>
        <row r="667">
          <cell r="A667" t="str">
            <v>3194</v>
          </cell>
          <cell r="B667" t="str">
            <v>Valentino U. Balsarza</v>
          </cell>
        </row>
        <row r="668">
          <cell r="A668" t="str">
            <v>3195</v>
          </cell>
          <cell r="B668" t="str">
            <v>Central Caltex Station</v>
          </cell>
        </row>
        <row r="669">
          <cell r="A669" t="str">
            <v>3196</v>
          </cell>
          <cell r="B669" t="str">
            <v>Gaisano Interpace Computer Systems</v>
          </cell>
        </row>
        <row r="670">
          <cell r="A670" t="str">
            <v>3197</v>
          </cell>
          <cell r="B670" t="str">
            <v>Lauan Industries, Inc.</v>
          </cell>
        </row>
        <row r="671">
          <cell r="A671" t="str">
            <v>3198</v>
          </cell>
          <cell r="B671" t="str">
            <v>Davao Central Convenience Store Inc.</v>
          </cell>
        </row>
        <row r="672">
          <cell r="A672" t="str">
            <v>3199</v>
          </cell>
          <cell r="B672" t="str">
            <v>Northlane Phoenix Service Station</v>
          </cell>
        </row>
        <row r="673">
          <cell r="A673" t="str">
            <v>3200</v>
          </cell>
          <cell r="B673" t="str">
            <v>GH Office Depot</v>
          </cell>
        </row>
        <row r="674">
          <cell r="A674" t="str">
            <v>3201</v>
          </cell>
          <cell r="B674" t="str">
            <v>Starex Motor Parts</v>
          </cell>
        </row>
        <row r="675">
          <cell r="A675" t="str">
            <v>3202</v>
          </cell>
          <cell r="B675" t="str">
            <v>NCCC Department Store</v>
          </cell>
        </row>
        <row r="676">
          <cell r="A676" t="str">
            <v>3203</v>
          </cell>
          <cell r="B676" t="str">
            <v>Maidan Cellphone Sales and Service</v>
          </cell>
        </row>
        <row r="677">
          <cell r="A677" t="str">
            <v>3204</v>
          </cell>
          <cell r="B677" t="str">
            <v>Aqua Soft Water System</v>
          </cell>
        </row>
        <row r="678">
          <cell r="A678" t="str">
            <v>3205</v>
          </cell>
          <cell r="B678" t="str">
            <v>ICDG Marketing</v>
          </cell>
        </row>
        <row r="679">
          <cell r="A679" t="str">
            <v>3206</v>
          </cell>
          <cell r="B679" t="str">
            <v>Rhyan Vor Villarosa</v>
          </cell>
        </row>
        <row r="680">
          <cell r="A680" t="str">
            <v>3207</v>
          </cell>
          <cell r="B680" t="str">
            <v>Edgar S. Serra</v>
          </cell>
        </row>
        <row r="681">
          <cell r="A681" t="str">
            <v>3208</v>
          </cell>
          <cell r="B681" t="str">
            <v>Kaya Restaurant</v>
          </cell>
        </row>
        <row r="682">
          <cell r="A682" t="str">
            <v>3209</v>
          </cell>
          <cell r="B682" t="str">
            <v>UCC Vienna Café</v>
          </cell>
        </row>
        <row r="683">
          <cell r="A683" t="str">
            <v>3210</v>
          </cell>
          <cell r="B683" t="str">
            <v>Toki Foodhaus Inc.</v>
          </cell>
        </row>
        <row r="684">
          <cell r="A684" t="str">
            <v>3211</v>
          </cell>
          <cell r="B684" t="str">
            <v>Eduardo V. Baltazar</v>
          </cell>
        </row>
        <row r="685">
          <cell r="A685" t="str">
            <v>3212</v>
          </cell>
          <cell r="B685" t="str">
            <v>Energin Shell Service Station</v>
          </cell>
        </row>
        <row r="686">
          <cell r="A686" t="str">
            <v>3213</v>
          </cell>
          <cell r="B686" t="str">
            <v>Philippine Airlines, Inc.</v>
          </cell>
        </row>
        <row r="687">
          <cell r="A687" t="str">
            <v>3214</v>
          </cell>
          <cell r="B687" t="str">
            <v>Tesa T. Tagalo</v>
          </cell>
        </row>
        <row r="688">
          <cell r="A688" t="str">
            <v>3215</v>
          </cell>
          <cell r="B688" t="str">
            <v>Tagoranao D. Gampong</v>
          </cell>
        </row>
        <row r="689">
          <cell r="A689" t="str">
            <v>3216</v>
          </cell>
          <cell r="B689" t="str">
            <v>Orient Integrated Dev't Consultants, Inc.</v>
          </cell>
        </row>
        <row r="690">
          <cell r="A690" t="str">
            <v>3217</v>
          </cell>
          <cell r="B690" t="str">
            <v>Nordstern Travel &amp; Tours, Inc.</v>
          </cell>
        </row>
        <row r="691">
          <cell r="A691" t="str">
            <v>3218</v>
          </cell>
          <cell r="B691" t="str">
            <v>Gpace Fire Fighting Equipment and Services</v>
          </cell>
        </row>
        <row r="692">
          <cell r="A692" t="str">
            <v>3219</v>
          </cell>
          <cell r="B692" t="str">
            <v>Smart Communications, Inc.</v>
          </cell>
        </row>
        <row r="693">
          <cell r="A693" t="str">
            <v>3220</v>
          </cell>
          <cell r="B693" t="str">
            <v>Data Worx Office Solutions Corporation</v>
          </cell>
        </row>
        <row r="694">
          <cell r="A694" t="str">
            <v>3221</v>
          </cell>
          <cell r="B694" t="str">
            <v>Royal Duty Free Shop Inc.</v>
          </cell>
        </row>
        <row r="695">
          <cell r="A695" t="str">
            <v>3222</v>
          </cell>
          <cell r="B695" t="str">
            <v>The Unified IT Distribution-Olongapo Inc.</v>
          </cell>
        </row>
        <row r="696">
          <cell r="A696" t="str">
            <v>3223</v>
          </cell>
          <cell r="B696" t="str">
            <v>Owel Auto Electrical Shop</v>
          </cell>
        </row>
        <row r="697">
          <cell r="A697" t="str">
            <v>3224</v>
          </cell>
          <cell r="B697" t="str">
            <v>Xtremely Xpresso</v>
          </cell>
        </row>
        <row r="698">
          <cell r="A698" t="str">
            <v>3225</v>
          </cell>
          <cell r="B698" t="str">
            <v>Maingate Drugstore and Needs</v>
          </cell>
        </row>
        <row r="699">
          <cell r="A699" t="str">
            <v>3226</v>
          </cell>
          <cell r="B699" t="str">
            <v>Eureka Agua Water Refilling Station</v>
          </cell>
        </row>
        <row r="700">
          <cell r="A700" t="str">
            <v>3227</v>
          </cell>
          <cell r="B700" t="str">
            <v>Food and Beverage Subic, Inc.</v>
          </cell>
        </row>
        <row r="701">
          <cell r="A701" t="str">
            <v>3228</v>
          </cell>
          <cell r="B701" t="str">
            <v>Josefina's Newspaper Distributors</v>
          </cell>
        </row>
        <row r="702">
          <cell r="A702" t="str">
            <v>3229</v>
          </cell>
          <cell r="B702" t="str">
            <v>Shuttle Hardware and General Merchandise</v>
          </cell>
        </row>
        <row r="703">
          <cell r="A703" t="str">
            <v>3230</v>
          </cell>
          <cell r="B703" t="str">
            <v>Blessed Mizpah Car Services &amp; Rentals</v>
          </cell>
        </row>
        <row r="704">
          <cell r="A704" t="str">
            <v>3231</v>
          </cell>
          <cell r="B704" t="str">
            <v>Power-up Tires</v>
          </cell>
        </row>
        <row r="705">
          <cell r="A705" t="str">
            <v>3232</v>
          </cell>
          <cell r="B705" t="str">
            <v>Kar Asia</v>
          </cell>
        </row>
        <row r="706">
          <cell r="A706" t="str">
            <v>3233</v>
          </cell>
          <cell r="B706" t="str">
            <v>Davao International Airport</v>
          </cell>
        </row>
        <row r="707">
          <cell r="A707" t="str">
            <v>3234</v>
          </cell>
          <cell r="B707" t="str">
            <v>Evan's Carwash</v>
          </cell>
        </row>
        <row r="708">
          <cell r="A708" t="str">
            <v>3235</v>
          </cell>
          <cell r="B708" t="str">
            <v>R.C. Supermarket</v>
          </cell>
        </row>
        <row r="709">
          <cell r="A709" t="str">
            <v>3236</v>
          </cell>
          <cell r="B709" t="str">
            <v>Gilbertken Zaportiza</v>
          </cell>
        </row>
        <row r="710">
          <cell r="A710" t="str">
            <v>3237</v>
          </cell>
          <cell r="B710" t="str">
            <v>Copylandia Services and Trading, Inc.</v>
          </cell>
        </row>
        <row r="711">
          <cell r="A711" t="str">
            <v>3238</v>
          </cell>
          <cell r="B711" t="str">
            <v>Mindanao Rural Development Program</v>
          </cell>
        </row>
        <row r="712">
          <cell r="A712" t="str">
            <v>3239</v>
          </cell>
          <cell r="B712" t="str">
            <v>Mobarak Andong</v>
          </cell>
        </row>
        <row r="713">
          <cell r="A713" t="str">
            <v>3240</v>
          </cell>
          <cell r="B713" t="str">
            <v>Park 'n Shop</v>
          </cell>
        </row>
        <row r="714">
          <cell r="A714" t="str">
            <v>3241</v>
          </cell>
          <cell r="B714" t="str">
            <v>Jafer Realty Corporation</v>
          </cell>
        </row>
        <row r="715">
          <cell r="A715" t="str">
            <v>3242</v>
          </cell>
          <cell r="B715" t="str">
            <v>AIU Insurance (Philippines)</v>
          </cell>
        </row>
        <row r="716">
          <cell r="A716" t="str">
            <v>3243</v>
          </cell>
          <cell r="B716" t="str">
            <v>Rolando Tabora</v>
          </cell>
        </row>
        <row r="717">
          <cell r="A717" t="str">
            <v>3244</v>
          </cell>
          <cell r="B717" t="str">
            <v>Dipolog Tire &amp; Recapping</v>
          </cell>
        </row>
        <row r="718">
          <cell r="A718" t="str">
            <v>3245</v>
          </cell>
          <cell r="B718" t="str">
            <v>JTA Builders</v>
          </cell>
        </row>
        <row r="719">
          <cell r="A719" t="str">
            <v>3246</v>
          </cell>
          <cell r="B719" t="str">
            <v>Sustainable Development</v>
          </cell>
        </row>
        <row r="720">
          <cell r="A720" t="str">
            <v>3247</v>
          </cell>
          <cell r="B720" t="str">
            <v>Delfin R. Acay</v>
          </cell>
        </row>
        <row r="721">
          <cell r="A721" t="str">
            <v>3248</v>
          </cell>
          <cell r="B721" t="str">
            <v>Infocom Technologies</v>
          </cell>
        </row>
        <row r="722">
          <cell r="A722" t="str">
            <v>3249</v>
          </cell>
          <cell r="B722" t="str">
            <v>City Stationery</v>
          </cell>
        </row>
        <row r="723">
          <cell r="A723" t="str">
            <v>3250</v>
          </cell>
          <cell r="B723" t="str">
            <v>Tricom Dynamics, Inc.</v>
          </cell>
        </row>
        <row r="724">
          <cell r="A724" t="str">
            <v>3251</v>
          </cell>
          <cell r="B724" t="str">
            <v>Ma. Leticia H. Sanchez</v>
          </cell>
        </row>
        <row r="725">
          <cell r="A725" t="str">
            <v>3252</v>
          </cell>
          <cell r="B725" t="str">
            <v>Usec. Jesus Emmanuel M. Paras</v>
          </cell>
        </row>
        <row r="726">
          <cell r="A726" t="str">
            <v>3253</v>
          </cell>
          <cell r="B726" t="str">
            <v>Bureau Of Immigration</v>
          </cell>
        </row>
        <row r="727">
          <cell r="A727" t="str">
            <v>3254</v>
          </cell>
          <cell r="B727" t="str">
            <v>Bessie Magtangob</v>
          </cell>
        </row>
        <row r="728">
          <cell r="A728" t="str">
            <v>3255</v>
          </cell>
          <cell r="B728" t="str">
            <v>Shandy Hubilla</v>
          </cell>
        </row>
        <row r="729">
          <cell r="A729" t="str">
            <v>3256</v>
          </cell>
          <cell r="B729" t="str">
            <v>Julius Tria</v>
          </cell>
        </row>
        <row r="730">
          <cell r="A730" t="str">
            <v>3257</v>
          </cell>
          <cell r="B730" t="str">
            <v>Louie Habejan</v>
          </cell>
        </row>
        <row r="731">
          <cell r="A731" t="str">
            <v>3258</v>
          </cell>
          <cell r="B731" t="str">
            <v>SM North Edsa</v>
          </cell>
        </row>
        <row r="732">
          <cell r="A732" t="str">
            <v>3259</v>
          </cell>
          <cell r="B732" t="str">
            <v>Golden Arches Development Corp.</v>
          </cell>
        </row>
        <row r="733">
          <cell r="A733" t="str">
            <v>3260</v>
          </cell>
          <cell r="B733" t="str">
            <v>Rhocord Enterprises</v>
          </cell>
        </row>
        <row r="734">
          <cell r="A734" t="str">
            <v>3261</v>
          </cell>
          <cell r="B734" t="str">
            <v>Prudencio Raquepo</v>
          </cell>
        </row>
        <row r="735">
          <cell r="A735" t="str">
            <v>3262</v>
          </cell>
          <cell r="B735" t="str">
            <v>Sandra Peralta</v>
          </cell>
        </row>
        <row r="736">
          <cell r="A736" t="str">
            <v>3263</v>
          </cell>
          <cell r="B736" t="str">
            <v>Crestina B. Gastardo</v>
          </cell>
        </row>
        <row r="737">
          <cell r="A737" t="str">
            <v>3264</v>
          </cell>
          <cell r="B737" t="str">
            <v>Eduardo Languita</v>
          </cell>
        </row>
        <row r="738">
          <cell r="A738" t="str">
            <v>3265</v>
          </cell>
          <cell r="B738" t="str">
            <v>Crisanto Gastardo</v>
          </cell>
        </row>
        <row r="739">
          <cell r="A739" t="str">
            <v>3266</v>
          </cell>
          <cell r="B739" t="str">
            <v>Jocelyn Mendoza</v>
          </cell>
        </row>
        <row r="740">
          <cell r="A740" t="str">
            <v>3267</v>
          </cell>
          <cell r="B740" t="str">
            <v>Super Bowl of China</v>
          </cell>
        </row>
        <row r="741">
          <cell r="A741" t="str">
            <v>3268</v>
          </cell>
          <cell r="B741" t="str">
            <v>Access Universe, Inc.</v>
          </cell>
        </row>
        <row r="742">
          <cell r="A742" t="str">
            <v>3269</v>
          </cell>
          <cell r="B742" t="str">
            <v>Rolando Taboada</v>
          </cell>
        </row>
        <row r="743">
          <cell r="A743" t="str">
            <v>3270</v>
          </cell>
          <cell r="B743" t="str">
            <v>Diamond Motors Corporation</v>
          </cell>
        </row>
        <row r="744">
          <cell r="A744" t="str">
            <v>3271</v>
          </cell>
          <cell r="B744" t="str">
            <v>Perfect Byte West</v>
          </cell>
        </row>
        <row r="745">
          <cell r="A745" t="str">
            <v>3272</v>
          </cell>
          <cell r="B745" t="str">
            <v>Zosimo Ordas</v>
          </cell>
        </row>
        <row r="746">
          <cell r="A746" t="str">
            <v>3273</v>
          </cell>
          <cell r="B746" t="str">
            <v>Banco De Oro Uni Bank, Inc.</v>
          </cell>
        </row>
        <row r="747">
          <cell r="A747" t="str">
            <v>3274</v>
          </cell>
          <cell r="B747" t="str">
            <v>Jhoanna Vasquez</v>
          </cell>
        </row>
        <row r="748">
          <cell r="A748" t="str">
            <v>3275</v>
          </cell>
          <cell r="B748" t="str">
            <v>West Racing Car Care</v>
          </cell>
        </row>
        <row r="749">
          <cell r="A749" t="str">
            <v>3276</v>
          </cell>
          <cell r="B749" t="str">
            <v>Ericson Mammag</v>
          </cell>
        </row>
        <row r="750">
          <cell r="A750" t="str">
            <v>3277</v>
          </cell>
          <cell r="B750" t="str">
            <v>Lourdes Matalog</v>
          </cell>
        </row>
        <row r="751">
          <cell r="A751" t="str">
            <v>3278</v>
          </cell>
          <cell r="B751" t="str">
            <v>Libni Marcoleta</v>
          </cell>
        </row>
        <row r="752">
          <cell r="A752" t="str">
            <v>3279</v>
          </cell>
          <cell r="B752" t="str">
            <v>Nicolas Tyre Supply &amp; Gen. Merchandise</v>
          </cell>
        </row>
        <row r="753">
          <cell r="A753" t="str">
            <v>3280</v>
          </cell>
          <cell r="B753" t="str">
            <v>NHA Highway Shell Service Station</v>
          </cell>
        </row>
        <row r="754">
          <cell r="A754" t="str">
            <v>3281</v>
          </cell>
          <cell r="B754" t="str">
            <v>Engr. Virgil E. Patriarca</v>
          </cell>
        </row>
        <row r="755">
          <cell r="A755" t="str">
            <v>3282</v>
          </cell>
          <cell r="B755" t="str">
            <v>Dearic Petron Station</v>
          </cell>
        </row>
        <row r="756">
          <cell r="A756" t="str">
            <v>3283</v>
          </cell>
          <cell r="B756" t="str">
            <v>Technomart Computers &amp; Consumer Electronics</v>
          </cell>
        </row>
        <row r="757">
          <cell r="A757" t="str">
            <v>3284</v>
          </cell>
          <cell r="B757" t="str">
            <v>Freon Enterprises</v>
          </cell>
        </row>
        <row r="758">
          <cell r="A758" t="str">
            <v>3285</v>
          </cell>
          <cell r="B758" t="str">
            <v>Joyce Shell Service Station</v>
          </cell>
        </row>
        <row r="759">
          <cell r="A759" t="str">
            <v>3286</v>
          </cell>
          <cell r="B759" t="str">
            <v>Basoy Petron Filling Station</v>
          </cell>
        </row>
        <row r="760">
          <cell r="A760" t="str">
            <v>3287</v>
          </cell>
          <cell r="B760" t="str">
            <v>Kwan Shell Station</v>
          </cell>
        </row>
        <row r="761">
          <cell r="A761" t="str">
            <v>3288</v>
          </cell>
          <cell r="B761" t="str">
            <v>Gango Petron Service Station</v>
          </cell>
        </row>
        <row r="762">
          <cell r="A762" t="str">
            <v>3289</v>
          </cell>
          <cell r="B762" t="str">
            <v>Daima Shipping Corporation</v>
          </cell>
        </row>
        <row r="763">
          <cell r="A763" t="str">
            <v>3290</v>
          </cell>
          <cell r="B763" t="str">
            <v>Golcrest Marketing Corporation</v>
          </cell>
        </row>
        <row r="764">
          <cell r="A764" t="str">
            <v>3291</v>
          </cell>
          <cell r="B764" t="str">
            <v>JBC Shopper's Plaza - Branch</v>
          </cell>
        </row>
        <row r="765">
          <cell r="A765" t="str">
            <v>3292</v>
          </cell>
          <cell r="B765" t="str">
            <v>Engr. Juanito C. Taripe</v>
          </cell>
        </row>
        <row r="766">
          <cell r="A766" t="str">
            <v>3293</v>
          </cell>
          <cell r="B766" t="str">
            <v>Joepards General Trading</v>
          </cell>
        </row>
        <row r="767">
          <cell r="A767" t="str">
            <v>3294</v>
          </cell>
          <cell r="B767" t="str">
            <v>JVC Aqua Refilling Center</v>
          </cell>
        </row>
        <row r="768">
          <cell r="A768" t="str">
            <v>3295</v>
          </cell>
          <cell r="B768" t="str">
            <v>Alemarc Enterprises and General Merchandise</v>
          </cell>
        </row>
        <row r="769">
          <cell r="A769" t="str">
            <v>3296</v>
          </cell>
          <cell r="B769" t="str">
            <v>La Purisima Computer Center</v>
          </cell>
        </row>
        <row r="770">
          <cell r="A770" t="str">
            <v>3297</v>
          </cell>
          <cell r="B770" t="str">
            <v>Rofels Shopping Center</v>
          </cell>
        </row>
        <row r="771">
          <cell r="A771" t="str">
            <v>3298</v>
          </cell>
          <cell r="B771" t="str">
            <v>Ipil Telephone Company, Inc.</v>
          </cell>
        </row>
        <row r="772">
          <cell r="A772" t="str">
            <v>3299</v>
          </cell>
          <cell r="B772" t="str">
            <v>eCopy II Corporation</v>
          </cell>
        </row>
        <row r="773">
          <cell r="A773" t="str">
            <v>3300</v>
          </cell>
          <cell r="B773" t="str">
            <v>Mycasoft Enterprises</v>
          </cell>
        </row>
        <row r="774">
          <cell r="A774" t="str">
            <v>3301</v>
          </cell>
          <cell r="B774" t="str">
            <v>E. D. Suarez Stationery</v>
          </cell>
        </row>
        <row r="775">
          <cell r="A775" t="str">
            <v>3302</v>
          </cell>
          <cell r="B775" t="str">
            <v>Maria Elena B. Yam</v>
          </cell>
        </row>
        <row r="776">
          <cell r="A776" t="str">
            <v>3303</v>
          </cell>
          <cell r="B776" t="str">
            <v>Plumas Transport Corporation</v>
          </cell>
        </row>
        <row r="777">
          <cell r="A777" t="str">
            <v>3304</v>
          </cell>
          <cell r="B777" t="str">
            <v>Elgordo Inc.</v>
          </cell>
        </row>
        <row r="778">
          <cell r="A778" t="str">
            <v>3305</v>
          </cell>
          <cell r="B778" t="str">
            <v>Rosanjin Corp</v>
          </cell>
        </row>
        <row r="779">
          <cell r="A779" t="str">
            <v>3306</v>
          </cell>
          <cell r="B779" t="str">
            <v>Batteryworld, Inc.</v>
          </cell>
        </row>
        <row r="780">
          <cell r="A780" t="str">
            <v>3307</v>
          </cell>
          <cell r="B780" t="str">
            <v>Atty. Gervacio B. Ortiz Jr.</v>
          </cell>
        </row>
        <row r="781">
          <cell r="A781" t="str">
            <v>3308</v>
          </cell>
          <cell r="B781" t="str">
            <v>Eastgate Shell Service Station</v>
          </cell>
        </row>
        <row r="782">
          <cell r="A782" t="str">
            <v>3309</v>
          </cell>
          <cell r="B782" t="str">
            <v>RDL Gasoline Station</v>
          </cell>
        </row>
        <row r="783">
          <cell r="A783" t="str">
            <v>3310</v>
          </cell>
          <cell r="B783" t="str">
            <v>PC Express</v>
          </cell>
        </row>
        <row r="784">
          <cell r="A784" t="str">
            <v>3311</v>
          </cell>
          <cell r="B784" t="str">
            <v>Edward G. Pangilinan</v>
          </cell>
        </row>
        <row r="785">
          <cell r="A785" t="str">
            <v>3312</v>
          </cell>
          <cell r="B785" t="str">
            <v>Supreme Motor Sales and Service Corp.</v>
          </cell>
        </row>
        <row r="786">
          <cell r="A786" t="str">
            <v>3313</v>
          </cell>
          <cell r="B786" t="str">
            <v>Shell Shopwise</v>
          </cell>
        </row>
        <row r="787">
          <cell r="A787" t="str">
            <v>3314</v>
          </cell>
          <cell r="B787" t="str">
            <v>Wheelhaus Marketing</v>
          </cell>
        </row>
        <row r="788">
          <cell r="A788" t="str">
            <v>3315</v>
          </cell>
          <cell r="B788" t="str">
            <v>Rali's Grill and Bar</v>
          </cell>
        </row>
        <row r="789">
          <cell r="A789" t="str">
            <v>3316</v>
          </cell>
          <cell r="B789" t="str">
            <v>Shell XTI Fuel Station</v>
          </cell>
        </row>
        <row r="790">
          <cell r="A790" t="str">
            <v>3317</v>
          </cell>
          <cell r="B790" t="str">
            <v>Jeleebee Supermarket</v>
          </cell>
        </row>
        <row r="791">
          <cell r="A791" t="str">
            <v>3318</v>
          </cell>
          <cell r="B791" t="str">
            <v>Subic International Hotel Corp.</v>
          </cell>
        </row>
        <row r="792">
          <cell r="A792" t="str">
            <v>3319</v>
          </cell>
          <cell r="B792" t="str">
            <v>Josie G. Cardshoppe-Branch</v>
          </cell>
        </row>
        <row r="793">
          <cell r="A793" t="str">
            <v>3320</v>
          </cell>
          <cell r="B793" t="str">
            <v>Headworks General Merchandise</v>
          </cell>
        </row>
        <row r="794">
          <cell r="A794" t="str">
            <v>3321</v>
          </cell>
          <cell r="B794" t="str">
            <v>Sustainable Ecosystems International Corp.</v>
          </cell>
        </row>
        <row r="795">
          <cell r="A795" t="str">
            <v>3322</v>
          </cell>
          <cell r="B795" t="str">
            <v>Makati City Prime Tower Suites</v>
          </cell>
        </row>
        <row r="796">
          <cell r="A796" t="str">
            <v>3323</v>
          </cell>
          <cell r="B796" t="str">
            <v>MBPS Cabling Corp.</v>
          </cell>
        </row>
        <row r="797">
          <cell r="A797" t="str">
            <v>3324</v>
          </cell>
          <cell r="B797" t="str">
            <v>Webfocus Solutions</v>
          </cell>
        </row>
        <row r="798">
          <cell r="A798" t="str">
            <v>3325</v>
          </cell>
          <cell r="B798" t="str">
            <v>Cristina Lopez or Jose Villar</v>
          </cell>
        </row>
        <row r="799">
          <cell r="A799" t="str">
            <v>3326</v>
          </cell>
          <cell r="B799" t="str">
            <v>Jessica S. Da-an or Irene H. Mahinay</v>
          </cell>
        </row>
        <row r="800">
          <cell r="A800" t="str">
            <v>3327</v>
          </cell>
          <cell r="B800" t="str">
            <v>Comgate Systems Technology</v>
          </cell>
        </row>
        <row r="801">
          <cell r="A801" t="str">
            <v>3328</v>
          </cell>
          <cell r="B801" t="str">
            <v>Alex Ronquillo</v>
          </cell>
        </row>
        <row r="802">
          <cell r="A802" t="str">
            <v>3329</v>
          </cell>
          <cell r="B802" t="str">
            <v>Carol Quintos</v>
          </cell>
        </row>
        <row r="803">
          <cell r="A803" t="str">
            <v>3330</v>
          </cell>
          <cell r="B803" t="str">
            <v>Gemma Conde</v>
          </cell>
        </row>
        <row r="804">
          <cell r="A804" t="str">
            <v>3331</v>
          </cell>
          <cell r="B804" t="str">
            <v>Timoteo Omol</v>
          </cell>
        </row>
        <row r="805">
          <cell r="A805" t="str">
            <v>3332</v>
          </cell>
          <cell r="B805" t="str">
            <v>Emmanuel Miraflores</v>
          </cell>
        </row>
        <row r="806">
          <cell r="A806" t="str">
            <v>3333</v>
          </cell>
          <cell r="B806" t="str">
            <v>Anson Marketing and Commercial Inc.</v>
          </cell>
        </row>
        <row r="807">
          <cell r="A807" t="str">
            <v>3334</v>
          </cell>
          <cell r="B807" t="str">
            <v>Rommel Lavapie</v>
          </cell>
        </row>
        <row r="808">
          <cell r="A808" t="str">
            <v>3335</v>
          </cell>
          <cell r="B808" t="str">
            <v>CD Jeans Direct Selling Co. Inc.</v>
          </cell>
        </row>
        <row r="809">
          <cell r="A809" t="str">
            <v>3336</v>
          </cell>
          <cell r="B809" t="str">
            <v>Dataview Computer Corporation</v>
          </cell>
        </row>
        <row r="810">
          <cell r="A810" t="str">
            <v>3337</v>
          </cell>
          <cell r="B810" t="str">
            <v>Infosolv Company</v>
          </cell>
        </row>
        <row r="811">
          <cell r="A811" t="str">
            <v>3338</v>
          </cell>
          <cell r="B811" t="str">
            <v>Robert Vidoni</v>
          </cell>
        </row>
        <row r="812">
          <cell r="A812" t="str">
            <v>3339</v>
          </cell>
          <cell r="B812" t="str">
            <v>Bessie Magtangob</v>
          </cell>
        </row>
        <row r="813">
          <cell r="A813" t="str">
            <v>3340</v>
          </cell>
          <cell r="B813" t="str">
            <v>JH Car Battery Center</v>
          </cell>
        </row>
        <row r="814">
          <cell r="A814" t="str">
            <v>3341</v>
          </cell>
          <cell r="B814" t="str">
            <v>Jan Irish Villegas</v>
          </cell>
        </row>
        <row r="815">
          <cell r="A815" t="str">
            <v>3342</v>
          </cell>
          <cell r="B815" t="str">
            <v>Digital Axis Porfessional I.T. Services</v>
          </cell>
        </row>
        <row r="816">
          <cell r="A816" t="str">
            <v>3343</v>
          </cell>
          <cell r="B816" t="str">
            <v>Elena Juanich Chicken Lechon Haus</v>
          </cell>
        </row>
        <row r="817">
          <cell r="A817" t="str">
            <v>3344</v>
          </cell>
          <cell r="B817" t="str">
            <v>Japan Airlines Int'l Co. Ltd.</v>
          </cell>
        </row>
        <row r="818">
          <cell r="A818" t="str">
            <v>3345</v>
          </cell>
          <cell r="B818" t="str">
            <v>SM Clark</v>
          </cell>
        </row>
        <row r="819">
          <cell r="A819" t="str">
            <v>3346</v>
          </cell>
          <cell r="B819" t="str">
            <v>New Best Travel Resources, Inc.</v>
          </cell>
        </row>
        <row r="820">
          <cell r="A820" t="str">
            <v>3347</v>
          </cell>
          <cell r="B820" t="str">
            <v>Aboitiz One, Inc.</v>
          </cell>
        </row>
        <row r="821">
          <cell r="A821" t="str">
            <v>3348</v>
          </cell>
          <cell r="B821" t="str">
            <v>CD-R King Gen. Merchandise</v>
          </cell>
        </row>
        <row r="822">
          <cell r="A822" t="str">
            <v>3349</v>
          </cell>
          <cell r="B822" t="str">
            <v>Dataworld Computer Center</v>
          </cell>
        </row>
        <row r="823">
          <cell r="A823" t="str">
            <v>3350</v>
          </cell>
          <cell r="B823" t="str">
            <v>Integra Solutions and Services Provider, Inc.</v>
          </cell>
        </row>
        <row r="824">
          <cell r="A824" t="str">
            <v>3351</v>
          </cell>
          <cell r="B824" t="str">
            <v>ICEC Land Corporation</v>
          </cell>
        </row>
        <row r="825">
          <cell r="A825" t="str">
            <v>3352</v>
          </cell>
          <cell r="B825" t="str">
            <v>Sharon Low</v>
          </cell>
        </row>
        <row r="826">
          <cell r="A826" t="str">
            <v>3353</v>
          </cell>
          <cell r="B826" t="str">
            <v>Silver Rose General Merchandise</v>
          </cell>
        </row>
        <row r="827">
          <cell r="A827" t="str">
            <v>3354</v>
          </cell>
          <cell r="B827" t="str">
            <v>Strumms</v>
          </cell>
        </row>
        <row r="828">
          <cell r="A828" t="str">
            <v>3355</v>
          </cell>
          <cell r="B828" t="str">
            <v>Tsumura Sushi Bar &amp; Restaurant</v>
          </cell>
        </row>
        <row r="829">
          <cell r="A829" t="str">
            <v>3356</v>
          </cell>
          <cell r="B829" t="str">
            <v>Nanbantei Restaurant</v>
          </cell>
        </row>
        <row r="830">
          <cell r="A830" t="str">
            <v>3357</v>
          </cell>
          <cell r="B830" t="str">
            <v>Acer Philippines, Inc.</v>
          </cell>
        </row>
        <row r="831">
          <cell r="A831" t="str">
            <v>3358</v>
          </cell>
          <cell r="B831" t="str">
            <v>E.A.S. Trading</v>
          </cell>
        </row>
        <row r="832">
          <cell r="A832" t="str">
            <v>3359</v>
          </cell>
          <cell r="B832" t="str">
            <v>May &amp; Jay Cyberzone</v>
          </cell>
        </row>
        <row r="833">
          <cell r="A833" t="str">
            <v>3360</v>
          </cell>
          <cell r="B833" t="str">
            <v>BPIMS Insurance Corporation</v>
          </cell>
        </row>
        <row r="834">
          <cell r="A834" t="str">
            <v>3361</v>
          </cell>
          <cell r="B834" t="str">
            <v>Helen Alvarez &amp; Delia R. Subaldo</v>
          </cell>
        </row>
        <row r="835">
          <cell r="A835" t="str">
            <v>3362</v>
          </cell>
          <cell r="B835" t="str">
            <v>Crispina Lopez &amp;or Jose Villar, III</v>
          </cell>
        </row>
        <row r="836">
          <cell r="A836" t="str">
            <v>3363</v>
          </cell>
          <cell r="B836" t="str">
            <v>Cayetano Garnayla</v>
          </cell>
        </row>
        <row r="837">
          <cell r="A837" t="str">
            <v>3364</v>
          </cell>
          <cell r="B837" t="str">
            <v>Hyundai Quezon Ave. Inc. (Esjay Auto Corp.)</v>
          </cell>
        </row>
        <row r="838">
          <cell r="A838" t="str">
            <v>3365</v>
          </cell>
          <cell r="B838" t="str">
            <v>Constancio C. Mahanoy and or Josefa C. Llovia</v>
          </cell>
        </row>
        <row r="839">
          <cell r="A839" t="str">
            <v>3366</v>
          </cell>
          <cell r="B839" t="str">
            <v>Eastern Assurance &amp; Surety Corporation</v>
          </cell>
        </row>
        <row r="840">
          <cell r="A840" t="str">
            <v>3367</v>
          </cell>
          <cell r="B840" t="str">
            <v>Leyte Dokiks Corporation</v>
          </cell>
        </row>
        <row r="841">
          <cell r="A841" t="str">
            <v>3368</v>
          </cell>
          <cell r="B841" t="str">
            <v>Philippine Institute of Civil Engineers</v>
          </cell>
        </row>
        <row r="842">
          <cell r="A842" t="str">
            <v>3369</v>
          </cell>
          <cell r="B842" t="str">
            <v>54K Marketing</v>
          </cell>
        </row>
        <row r="843">
          <cell r="A843" t="str">
            <v>3370</v>
          </cell>
          <cell r="B843" t="str">
            <v>Marah Grachelle Sagnip</v>
          </cell>
        </row>
        <row r="844">
          <cell r="A844" t="str">
            <v>3371</v>
          </cell>
          <cell r="B844" t="str">
            <v>Advance Office Equipment Sales &amp; Service</v>
          </cell>
        </row>
        <row r="845">
          <cell r="A845" t="str">
            <v>3372</v>
          </cell>
          <cell r="B845" t="str">
            <v>Gold Circle Service Station</v>
          </cell>
        </row>
        <row r="846">
          <cell r="A846" t="str">
            <v>3373</v>
          </cell>
          <cell r="B846" t="str">
            <v>Davao Farmacia Southern Incorporated</v>
          </cell>
        </row>
        <row r="847">
          <cell r="A847" t="str">
            <v>3374</v>
          </cell>
          <cell r="B847" t="str">
            <v>CD-R King Gen. Merchandise</v>
          </cell>
        </row>
        <row r="848">
          <cell r="A848" t="str">
            <v>3375</v>
          </cell>
          <cell r="B848" t="str">
            <v>FRB Cellphone Repair &amp; Accessories</v>
          </cell>
        </row>
        <row r="849">
          <cell r="A849" t="str">
            <v>3376</v>
          </cell>
          <cell r="B849" t="str">
            <v>Philtyres Corporation</v>
          </cell>
        </row>
        <row r="850">
          <cell r="A850" t="str">
            <v>3377</v>
          </cell>
          <cell r="B850" t="str">
            <v>Toyota Cagayan de Oro, Inc.</v>
          </cell>
        </row>
        <row r="851">
          <cell r="A851" t="str">
            <v>3378</v>
          </cell>
          <cell r="B851" t="str">
            <v>Legor Car Care &amp; Service Station</v>
          </cell>
        </row>
        <row r="852">
          <cell r="A852" t="str">
            <v>3379</v>
          </cell>
          <cell r="B852" t="str">
            <v>Paper Station Enterprises </v>
          </cell>
        </row>
        <row r="853">
          <cell r="A853" t="str">
            <v>3380</v>
          </cell>
          <cell r="B853" t="str">
            <v>Villavito P. Enterprises</v>
          </cell>
        </row>
        <row r="854">
          <cell r="A854" t="str">
            <v>3381</v>
          </cell>
          <cell r="B854" t="str">
            <v>Johncent Dumanhog</v>
          </cell>
        </row>
        <row r="855">
          <cell r="A855" t="str">
            <v>3382</v>
          </cell>
          <cell r="B855" t="str">
            <v>ZestAir Cubao Ticketing Office</v>
          </cell>
        </row>
        <row r="856">
          <cell r="A856" t="str">
            <v>3383</v>
          </cell>
          <cell r="B856" t="str">
            <v>Araneta Center Inc.</v>
          </cell>
        </row>
        <row r="857">
          <cell r="A857" t="str">
            <v>3384</v>
          </cell>
          <cell r="B857" t="str">
            <v>Hao-Yang Restaurant</v>
          </cell>
        </row>
        <row r="858">
          <cell r="A858" t="str">
            <v>3385</v>
          </cell>
          <cell r="B858" t="str">
            <v>Lendes Shell Station</v>
          </cell>
        </row>
        <row r="859">
          <cell r="A859" t="str">
            <v>3386</v>
          </cell>
          <cell r="B859" t="str">
            <v>Yu Chang Shell Station</v>
          </cell>
        </row>
        <row r="860">
          <cell r="A860" t="str">
            <v>3387</v>
          </cell>
          <cell r="B860" t="str">
            <v>Daraga Shell Service Station</v>
          </cell>
        </row>
        <row r="861">
          <cell r="A861" t="str">
            <v>3388</v>
          </cell>
          <cell r="B861" t="str">
            <v>Sikatuna Beach Hotel</v>
          </cell>
        </row>
        <row r="862">
          <cell r="A862" t="str">
            <v>3389</v>
          </cell>
          <cell r="B862" t="str">
            <v>MJP Engraving</v>
          </cell>
        </row>
        <row r="863">
          <cell r="A863" t="str">
            <v>3390</v>
          </cell>
          <cell r="B863" t="str">
            <v>Rafchin's Gasoline &amp; Service Station</v>
          </cell>
        </row>
        <row r="864">
          <cell r="A864" t="str">
            <v>3391</v>
          </cell>
          <cell r="B864" t="str">
            <v>Danny Salas</v>
          </cell>
        </row>
        <row r="865">
          <cell r="A865" t="str">
            <v>3392</v>
          </cell>
          <cell r="B865" t="str">
            <v>Seaoil Polangui</v>
          </cell>
        </row>
        <row r="866">
          <cell r="A866" t="str">
            <v>3393</v>
          </cell>
          <cell r="B866" t="str">
            <v>Bonacua Petron Service Station</v>
          </cell>
        </row>
        <row r="867">
          <cell r="A867" t="str">
            <v>3394</v>
          </cell>
          <cell r="B867" t="str">
            <v>VE Petron Service Center</v>
          </cell>
        </row>
        <row r="868">
          <cell r="A868" t="str">
            <v>3395</v>
          </cell>
          <cell r="B868" t="str">
            <v>Gar-Ace Enterprises</v>
          </cell>
        </row>
        <row r="869">
          <cell r="A869" t="str">
            <v>3396</v>
          </cell>
          <cell r="B869" t="str">
            <v>Garachico Petron Station</v>
          </cell>
        </row>
        <row r="870">
          <cell r="A870" t="str">
            <v>3397</v>
          </cell>
          <cell r="B870" t="str">
            <v>Port Diversion Petron Service Station</v>
          </cell>
        </row>
        <row r="871">
          <cell r="A871" t="str">
            <v>3398</v>
          </cell>
          <cell r="B871" t="str">
            <v>South Park Noodle House Inc.</v>
          </cell>
        </row>
        <row r="872">
          <cell r="A872" t="str">
            <v>3399</v>
          </cell>
          <cell r="B872" t="str">
            <v>Willyson Merchandising</v>
          </cell>
        </row>
        <row r="873">
          <cell r="A873" t="str">
            <v>3400</v>
          </cell>
          <cell r="B873" t="str">
            <v>Upson International Corp</v>
          </cell>
        </row>
        <row r="874">
          <cell r="A874" t="str">
            <v>3401</v>
          </cell>
          <cell r="B874" t="str">
            <v>Metro Market! Market!</v>
          </cell>
        </row>
        <row r="875">
          <cell r="A875" t="str">
            <v>3402</v>
          </cell>
          <cell r="B875" t="str">
            <v>Kingsway Inn</v>
          </cell>
        </row>
        <row r="876">
          <cell r="A876" t="str">
            <v>3403</v>
          </cell>
          <cell r="B876" t="str">
            <v>Jamida Tours and Transpo., Inc.</v>
          </cell>
        </row>
        <row r="877">
          <cell r="A877" t="str">
            <v>3404</v>
          </cell>
          <cell r="B877" t="str">
            <v>Gilbert Olandeska</v>
          </cell>
        </row>
        <row r="878">
          <cell r="A878" t="str">
            <v>3405</v>
          </cell>
          <cell r="B878" t="str">
            <v>Etienne Deschrijver</v>
          </cell>
        </row>
        <row r="879">
          <cell r="A879" t="str">
            <v>3406</v>
          </cell>
          <cell r="B879" t="str">
            <v>Alexander Uy</v>
          </cell>
        </row>
        <row r="880">
          <cell r="A880" t="str">
            <v>3407</v>
          </cell>
          <cell r="B880" t="str">
            <v>Joel Cruz</v>
          </cell>
        </row>
        <row r="881">
          <cell r="A881" t="str">
            <v>3408</v>
          </cell>
          <cell r="B881" t="str">
            <v>Tiremasters Auto Care Center, Inc.</v>
          </cell>
        </row>
        <row r="882">
          <cell r="A882" t="str">
            <v>3409</v>
          </cell>
          <cell r="B882" t="str">
            <v>Scobell Consulting Services, Inc.</v>
          </cell>
        </row>
        <row r="883">
          <cell r="A883" t="str">
            <v>3410</v>
          </cell>
          <cell r="B883" t="str">
            <v>Ayala Property Management Corp.</v>
          </cell>
        </row>
        <row r="884">
          <cell r="A884" t="str">
            <v>3411</v>
          </cell>
          <cell r="B884" t="str">
            <v>Dusit Thani, Manila</v>
          </cell>
        </row>
        <row r="885">
          <cell r="A885" t="str">
            <v>3412</v>
          </cell>
          <cell r="B885" t="str">
            <v>Edsa Shangri-la Manila</v>
          </cell>
        </row>
        <row r="886">
          <cell r="A886" t="str">
            <v>3413</v>
          </cell>
          <cell r="B886" t="str">
            <v>Hatsu Hana-Tei Japanese Restaurant</v>
          </cell>
        </row>
        <row r="887">
          <cell r="A887" t="str">
            <v>3414</v>
          </cell>
          <cell r="B887" t="str">
            <v>Dulang-Lutong Kapampangan at Pasalubong-Branch I</v>
          </cell>
        </row>
        <row r="888">
          <cell r="A888" t="str">
            <v>3415</v>
          </cell>
          <cell r="B888" t="str">
            <v>Car Palace, Inc.</v>
          </cell>
        </row>
        <row r="889">
          <cell r="A889" t="str">
            <v>3416</v>
          </cell>
          <cell r="B889" t="str">
            <v>AK Annes Kitchen Food Inc.</v>
          </cell>
        </row>
        <row r="890">
          <cell r="A890" t="str">
            <v>3417</v>
          </cell>
          <cell r="B890" t="str">
            <v>International Freeport Traders, Inc.</v>
          </cell>
        </row>
        <row r="891">
          <cell r="A891" t="str">
            <v>3418</v>
          </cell>
          <cell r="B891" t="str">
            <v>Bloom Gas Station</v>
          </cell>
        </row>
        <row r="892">
          <cell r="A892" t="str">
            <v>3419</v>
          </cell>
          <cell r="B892" t="str">
            <v>New Shell Marina Service Station</v>
          </cell>
        </row>
        <row r="893">
          <cell r="A893" t="str">
            <v>3420</v>
          </cell>
          <cell r="B893" t="str">
            <v>Linuxhelper Corporation</v>
          </cell>
        </row>
        <row r="894">
          <cell r="A894" t="str">
            <v>3421</v>
          </cell>
          <cell r="B894" t="str">
            <v>Uniwide Sales</v>
          </cell>
        </row>
        <row r="895">
          <cell r="A895" t="str">
            <v>3422</v>
          </cell>
          <cell r="B895" t="str">
            <v>Ernesto N. Parato or Rosario C. Sales</v>
          </cell>
        </row>
        <row r="896">
          <cell r="A896" t="str">
            <v>3423</v>
          </cell>
          <cell r="B896" t="str">
            <v>Edgardo Aure</v>
          </cell>
        </row>
        <row r="897">
          <cell r="A897" t="str">
            <v>3424</v>
          </cell>
          <cell r="B897" t="str">
            <v>Rommel Lavapie</v>
          </cell>
        </row>
        <row r="898">
          <cell r="A898" t="str">
            <v>3425</v>
          </cell>
          <cell r="B898" t="str">
            <v>Rosita Abanilla</v>
          </cell>
        </row>
        <row r="899">
          <cell r="A899" t="str">
            <v>3426</v>
          </cell>
          <cell r="B899" t="str">
            <v>Compuserve Technologies, Inc.</v>
          </cell>
        </row>
        <row r="900">
          <cell r="A900" t="str">
            <v>3427</v>
          </cell>
          <cell r="B900" t="str">
            <v>Oweida Pagsidan</v>
          </cell>
        </row>
        <row r="901">
          <cell r="A901" t="str">
            <v>3428</v>
          </cell>
          <cell r="B901" t="str">
            <v>Oro Mighty Enterprises</v>
          </cell>
        </row>
        <row r="902">
          <cell r="A902" t="str">
            <v>3429</v>
          </cell>
          <cell r="B902" t="str">
            <v>Joseph Ablon</v>
          </cell>
        </row>
        <row r="903">
          <cell r="A903" t="str">
            <v>3430</v>
          </cell>
          <cell r="B903" t="str">
            <v>Malayan Insurance</v>
          </cell>
        </row>
        <row r="904">
          <cell r="A904" t="str">
            <v>3431</v>
          </cell>
          <cell r="B904" t="str">
            <v>Nikkei Pollution Test Co.</v>
          </cell>
        </row>
        <row r="905">
          <cell r="A905" t="str">
            <v>3432</v>
          </cell>
          <cell r="B905" t="str">
            <v>Land Transportation Office</v>
          </cell>
        </row>
        <row r="906">
          <cell r="A906" t="str">
            <v>3433</v>
          </cell>
          <cell r="B906" t="str">
            <v>Rina Grace Supermarket</v>
          </cell>
        </row>
        <row r="907">
          <cell r="A907" t="str">
            <v>3434</v>
          </cell>
          <cell r="B907" t="str">
            <v>Ardem Carparts, Incorporated</v>
          </cell>
        </row>
        <row r="908">
          <cell r="A908" t="str">
            <v>3435</v>
          </cell>
          <cell r="B908" t="str">
            <v>Polangui Petron Station</v>
          </cell>
        </row>
        <row r="909">
          <cell r="A909" t="str">
            <v>3436</v>
          </cell>
          <cell r="B909" t="str">
            <v>Jsean Flower Shop</v>
          </cell>
        </row>
        <row r="910">
          <cell r="A910" t="str">
            <v>3437</v>
          </cell>
          <cell r="B910" t="str">
            <v>Eurolab Pacific International Corporation</v>
          </cell>
        </row>
        <row r="911">
          <cell r="A911" t="str">
            <v>3438</v>
          </cell>
          <cell r="B911" t="str">
            <v>Pacific Union Insurance Company</v>
          </cell>
        </row>
        <row r="912">
          <cell r="A912" t="str">
            <v>3439</v>
          </cell>
          <cell r="B912" t="str">
            <v>Anselmo Ayala</v>
          </cell>
        </row>
        <row r="913">
          <cell r="A913" t="str">
            <v>3440</v>
          </cell>
          <cell r="B913" t="str">
            <v>Makati City Parking Authority, Inc.</v>
          </cell>
        </row>
        <row r="914">
          <cell r="A914" t="str">
            <v>3441</v>
          </cell>
          <cell r="B914" t="str">
            <v>Munch &amp; More Convenience Store</v>
          </cell>
        </row>
        <row r="915">
          <cell r="A915" t="str">
            <v>3442</v>
          </cell>
          <cell r="B915" t="str">
            <v>Saint John Petron Station</v>
          </cell>
        </row>
        <row r="916">
          <cell r="A916" t="str">
            <v>3443</v>
          </cell>
          <cell r="B916" t="str">
            <v>Crossroad Shell Service Station</v>
          </cell>
        </row>
        <row r="917">
          <cell r="A917" t="str">
            <v>3444</v>
          </cell>
          <cell r="B917" t="str">
            <v>Best Merchant Enterprises</v>
          </cell>
        </row>
        <row r="918">
          <cell r="A918" t="str">
            <v>3445</v>
          </cell>
          <cell r="B918" t="str">
            <v>Daet Petron Service Station</v>
          </cell>
        </row>
        <row r="919">
          <cell r="A919" t="str">
            <v>3446</v>
          </cell>
          <cell r="B919" t="str">
            <v>Capalonga Gasoline Station</v>
          </cell>
        </row>
        <row r="920">
          <cell r="A920" t="str">
            <v>3447</v>
          </cell>
          <cell r="B920" t="str">
            <v>Fotograce Digital Express</v>
          </cell>
        </row>
        <row r="921">
          <cell r="A921" t="str">
            <v>3448</v>
          </cell>
          <cell r="B921" t="str">
            <v>BJ and Mae Copy Center</v>
          </cell>
        </row>
        <row r="922">
          <cell r="A922" t="str">
            <v>3449</v>
          </cell>
          <cell r="B922" t="str">
            <v>Joey Trading</v>
          </cell>
        </row>
        <row r="923">
          <cell r="A923" t="str">
            <v>3450</v>
          </cell>
          <cell r="B923" t="str">
            <v>Lava ni Lavee Laundry Shop</v>
          </cell>
        </row>
        <row r="924">
          <cell r="A924" t="str">
            <v>3451</v>
          </cell>
          <cell r="B924" t="str">
            <v>Watsons Personal Care Stores Phils Inc</v>
          </cell>
        </row>
        <row r="925">
          <cell r="A925" t="str">
            <v>3452</v>
          </cell>
          <cell r="B925" t="str">
            <v>Avicom Enterprises</v>
          </cell>
        </row>
        <row r="926">
          <cell r="A926" t="str">
            <v>3453</v>
          </cell>
          <cell r="B926" t="str">
            <v>SM Prime Holdings Inc.</v>
          </cell>
        </row>
        <row r="927">
          <cell r="A927" t="str">
            <v>3454</v>
          </cell>
          <cell r="B927" t="str">
            <v>Victoria Caltex Service Station</v>
          </cell>
        </row>
        <row r="928">
          <cell r="A928" t="str">
            <v>3455</v>
          </cell>
          <cell r="B928" t="str">
            <v>Petron Nautical Highway Service Station</v>
          </cell>
        </row>
        <row r="929">
          <cell r="A929" t="str">
            <v>3456</v>
          </cell>
          <cell r="B929" t="str">
            <v>LCC Supermarket</v>
          </cell>
        </row>
        <row r="930">
          <cell r="A930" t="str">
            <v>3457</v>
          </cell>
          <cell r="B930" t="str">
            <v>SST Laptop n PC Shop</v>
          </cell>
        </row>
        <row r="931">
          <cell r="A931" t="str">
            <v>3458</v>
          </cell>
          <cell r="B931" t="str">
            <v>Fax Parcel Print</v>
          </cell>
        </row>
        <row r="932">
          <cell r="A932" t="str">
            <v>3459</v>
          </cell>
          <cell r="B932" t="str">
            <v>Battery Channel Corp.</v>
          </cell>
        </row>
        <row r="933">
          <cell r="A933" t="str">
            <v>3460</v>
          </cell>
          <cell r="B933" t="str">
            <v>Stecarga Enterprises II</v>
          </cell>
        </row>
        <row r="934">
          <cell r="A934" t="str">
            <v>3461</v>
          </cell>
          <cell r="B934" t="str">
            <v>MTO</v>
          </cell>
        </row>
        <row r="935">
          <cell r="A935" t="str">
            <v>3462</v>
          </cell>
          <cell r="B935" t="str">
            <v>Libon Caltex Service Station</v>
          </cell>
        </row>
        <row r="936">
          <cell r="A936" t="str">
            <v>3463</v>
          </cell>
          <cell r="B936" t="str">
            <v>Shell Busay Station</v>
          </cell>
        </row>
        <row r="937">
          <cell r="A937" t="str">
            <v>3464</v>
          </cell>
          <cell r="B937" t="str">
            <v>Villarroya-Pura Gas Station</v>
          </cell>
        </row>
        <row r="938">
          <cell r="A938" t="str">
            <v>3465</v>
          </cell>
          <cell r="B938" t="str">
            <v>Starbucks Coffee</v>
          </cell>
        </row>
        <row r="939">
          <cell r="A939" t="str">
            <v>3466</v>
          </cell>
          <cell r="B939" t="str">
            <v>Uni-Lamps Company</v>
          </cell>
        </row>
        <row r="940">
          <cell r="A940" t="str">
            <v>3467</v>
          </cell>
          <cell r="B940" t="str">
            <v>Graham Johnson Jones</v>
          </cell>
        </row>
        <row r="941">
          <cell r="A941" t="str">
            <v>3468</v>
          </cell>
          <cell r="B941" t="str">
            <v>Kodak Express</v>
          </cell>
        </row>
        <row r="942">
          <cell r="A942" t="str">
            <v>3469</v>
          </cell>
          <cell r="B942" t="str">
            <v>R. B. Benito Gasoline Station III</v>
          </cell>
        </row>
        <row r="943">
          <cell r="A943" t="str">
            <v>3470</v>
          </cell>
          <cell r="B943" t="str">
            <v>Cole Pacific Inc.</v>
          </cell>
        </row>
        <row r="944">
          <cell r="A944" t="str">
            <v>3471</v>
          </cell>
          <cell r="B944" t="str">
            <v>Rustan Marketing Specialists, Inc.</v>
          </cell>
        </row>
        <row r="945">
          <cell r="A945" t="str">
            <v>3472</v>
          </cell>
          <cell r="B945" t="str">
            <v>Rustans Supermarket</v>
          </cell>
        </row>
        <row r="946">
          <cell r="A946" t="str">
            <v>3473</v>
          </cell>
          <cell r="B946" t="str">
            <v>LMJ Travel &amp; Tours</v>
          </cell>
        </row>
        <row r="947">
          <cell r="A947" t="str">
            <v>3474</v>
          </cell>
          <cell r="B947" t="str">
            <v>Environmental Counselors, Inc.</v>
          </cell>
        </row>
        <row r="948">
          <cell r="A948" t="str">
            <v>3475</v>
          </cell>
          <cell r="B948" t="str">
            <v>Photoline Enterprises Corp.</v>
          </cell>
        </row>
        <row r="949">
          <cell r="A949" t="str">
            <v>3476</v>
          </cell>
          <cell r="B949" t="str">
            <v>Max's Restaurant</v>
          </cell>
        </row>
        <row r="950">
          <cell r="A950" t="str">
            <v>3477</v>
          </cell>
          <cell r="B950" t="str">
            <v>Dunkin Donuts</v>
          </cell>
        </row>
        <row r="951">
          <cell r="A951" t="str">
            <v>3478</v>
          </cell>
          <cell r="B951" t="str">
            <v>Circle J General Stores</v>
          </cell>
        </row>
        <row r="952">
          <cell r="A952" t="str">
            <v>3479</v>
          </cell>
          <cell r="B952" t="str">
            <v>Atty. Gene Vincent G. Perez</v>
          </cell>
        </row>
        <row r="953">
          <cell r="A953" t="str">
            <v>3480</v>
          </cell>
          <cell r="B953" t="str">
            <v>Mango Valley Corporation</v>
          </cell>
        </row>
        <row r="954">
          <cell r="A954" t="str">
            <v>3481</v>
          </cell>
          <cell r="B954" t="str">
            <v>PC OK Computers</v>
          </cell>
        </row>
        <row r="955">
          <cell r="A955" t="str">
            <v>3482</v>
          </cell>
          <cell r="B955" t="str">
            <v>Basic Balibago Gasoline Station</v>
          </cell>
        </row>
        <row r="956">
          <cell r="A956" t="str">
            <v>3483</v>
          </cell>
          <cell r="B956" t="str">
            <v>Diorella Printshop Int'l Corp.</v>
          </cell>
        </row>
        <row r="957">
          <cell r="A957" t="str">
            <v>3484</v>
          </cell>
          <cell r="B957" t="str">
            <v>Lucky Star</v>
          </cell>
        </row>
        <row r="958">
          <cell r="A958" t="str">
            <v>3485</v>
          </cell>
          <cell r="B958" t="str">
            <v>Café Breton</v>
          </cell>
        </row>
        <row r="959">
          <cell r="A959" t="str">
            <v>3486</v>
          </cell>
          <cell r="B959" t="str">
            <v>Gulliver's Restaurant Aberdeen Court</v>
          </cell>
        </row>
        <row r="960">
          <cell r="A960" t="str">
            <v>3487</v>
          </cell>
          <cell r="B960" t="str">
            <v>Lutong Macao Food Concepts, Inc.</v>
          </cell>
        </row>
        <row r="961">
          <cell r="A961" t="str">
            <v>3488</v>
          </cell>
          <cell r="B961" t="str">
            <v>7-Eleven</v>
          </cell>
        </row>
        <row r="962">
          <cell r="A962" t="str">
            <v>3489</v>
          </cell>
          <cell r="B962" t="str">
            <v>Barangay San Lorenzo Business Association, Inc.</v>
          </cell>
        </row>
        <row r="963">
          <cell r="A963" t="str">
            <v>3490</v>
          </cell>
          <cell r="B963" t="str">
            <v>Secure Citi Parking Philippines Corporation</v>
          </cell>
        </row>
        <row r="964">
          <cell r="A964" t="str">
            <v>3491</v>
          </cell>
          <cell r="B964" t="str">
            <v>Parking Company of Asia </v>
          </cell>
        </row>
        <row r="965">
          <cell r="A965" t="str">
            <v>3492</v>
          </cell>
          <cell r="B965" t="str">
            <v>Elite Gasoline Station</v>
          </cell>
        </row>
        <row r="966">
          <cell r="A966" t="str">
            <v>3493</v>
          </cell>
          <cell r="B966" t="str">
            <v>Comgate Systems Technology Corporation</v>
          </cell>
        </row>
        <row r="967">
          <cell r="A967" t="str">
            <v>3494</v>
          </cell>
          <cell r="B967" t="str">
            <v>Bubbles 'N Foam Carwash</v>
          </cell>
        </row>
        <row r="968">
          <cell r="A968" t="str">
            <v>3495</v>
          </cell>
          <cell r="B968" t="str">
            <v>Janburlai Corporation Total</v>
          </cell>
        </row>
        <row r="969">
          <cell r="A969" t="str">
            <v>3496</v>
          </cell>
          <cell r="B969" t="str">
            <v>Shell Service Station</v>
          </cell>
        </row>
        <row r="970">
          <cell r="A970" t="str">
            <v>3497</v>
          </cell>
          <cell r="B970" t="str">
            <v>L &amp; D Motors</v>
          </cell>
        </row>
        <row r="971">
          <cell r="A971" t="str">
            <v>3498</v>
          </cell>
          <cell r="B971" t="str">
            <v>Yellow Cab Pizza</v>
          </cell>
        </row>
        <row r="972">
          <cell r="A972" t="str">
            <v>3499</v>
          </cell>
          <cell r="B972" t="str">
            <v>Freeport Oil Gas Station</v>
          </cell>
        </row>
        <row r="973">
          <cell r="A973" t="str">
            <v>3500</v>
          </cell>
          <cell r="B973" t="str">
            <v>Circle J General Stores</v>
          </cell>
        </row>
        <row r="974">
          <cell r="A974" t="str">
            <v>3501</v>
          </cell>
          <cell r="B974" t="str">
            <v>01 Property Ventures Corporation</v>
          </cell>
        </row>
        <row r="975">
          <cell r="A975" t="str">
            <v>3502</v>
          </cell>
          <cell r="B975" t="str">
            <v>Larky's General Merchandise</v>
          </cell>
        </row>
        <row r="976">
          <cell r="A976" t="str">
            <v>3503</v>
          </cell>
          <cell r="B976" t="str">
            <v>MLH Computer Center</v>
          </cell>
        </row>
        <row r="977">
          <cell r="A977" t="str">
            <v>3504</v>
          </cell>
          <cell r="B977" t="str">
            <v>DGFX Media</v>
          </cell>
        </row>
        <row r="978">
          <cell r="A978" t="str">
            <v>3505</v>
          </cell>
          <cell r="B978" t="str">
            <v>SM Hypermarket</v>
          </cell>
        </row>
        <row r="979">
          <cell r="A979" t="str">
            <v>3506</v>
          </cell>
          <cell r="B979" t="str">
            <v>Shakey's</v>
          </cell>
        </row>
        <row r="980">
          <cell r="A980" t="str">
            <v>3507</v>
          </cell>
          <cell r="B980" t="str">
            <v>SM Mainstream Business</v>
          </cell>
        </row>
        <row r="981">
          <cell r="A981" t="str">
            <v>3508</v>
          </cell>
          <cell r="B981" t="str">
            <v>Hatsu Hana-tei Restaurant</v>
          </cell>
        </row>
        <row r="982">
          <cell r="A982" t="str">
            <v>3509</v>
          </cell>
          <cell r="B982" t="str">
            <v>Metal-Lite Illuminazione Marketing</v>
          </cell>
        </row>
        <row r="983">
          <cell r="A983" t="str">
            <v>3510</v>
          </cell>
          <cell r="B983" t="str">
            <v>Electroworld, Inc.</v>
          </cell>
        </row>
        <row r="984">
          <cell r="A984" t="str">
            <v>3511</v>
          </cell>
          <cell r="B984" t="str">
            <v>CG and E Shell Service Station</v>
          </cell>
        </row>
        <row r="985">
          <cell r="A985" t="str">
            <v>3512</v>
          </cell>
          <cell r="B985" t="str">
            <v>Starev Motorist Service Station</v>
          </cell>
        </row>
        <row r="986">
          <cell r="A986" t="str">
            <v>3513</v>
          </cell>
          <cell r="B986" t="str">
            <v>True Value Home Center</v>
          </cell>
        </row>
        <row r="987">
          <cell r="A987" t="str">
            <v>3514</v>
          </cell>
          <cell r="B987" t="str">
            <v>A. Magallanes Copy Prints</v>
          </cell>
        </row>
        <row r="988">
          <cell r="A988" t="str">
            <v>3515</v>
          </cell>
          <cell r="B988" t="str">
            <v>Mervin Realty Corp.</v>
          </cell>
        </row>
        <row r="989">
          <cell r="A989" t="str">
            <v>3516</v>
          </cell>
          <cell r="B989" t="str">
            <v>Tony's Radiator Shop</v>
          </cell>
        </row>
        <row r="990">
          <cell r="A990" t="str">
            <v>3517</v>
          </cell>
          <cell r="B990" t="str">
            <v>dotPH Domains Incorporated</v>
          </cell>
        </row>
        <row r="991">
          <cell r="A991" t="str">
            <v>3518</v>
          </cell>
          <cell r="B991" t="str">
            <v>Marco Motor Sales</v>
          </cell>
        </row>
        <row r="992">
          <cell r="A992" t="str">
            <v>3519</v>
          </cell>
          <cell r="B992" t="str">
            <v>Toyota Makati City, Inc.</v>
          </cell>
        </row>
        <row r="993">
          <cell r="A993" t="str">
            <v>3520</v>
          </cell>
          <cell r="B993" t="str">
            <v>Path Trading</v>
          </cell>
        </row>
        <row r="994">
          <cell r="A994" t="str">
            <v>3521</v>
          </cell>
          <cell r="B994" t="str">
            <v>CAV Café</v>
          </cell>
        </row>
        <row r="995">
          <cell r="A995" t="str">
            <v>3522</v>
          </cell>
          <cell r="B995" t="str">
            <v>M.M. Yamat Motorist's Center</v>
          </cell>
        </row>
        <row r="996">
          <cell r="A996" t="str">
            <v>3523</v>
          </cell>
          <cell r="B996" t="str">
            <v>Santol Computer World Plus</v>
          </cell>
        </row>
        <row r="997">
          <cell r="A997" t="str">
            <v>3524</v>
          </cell>
          <cell r="B997" t="str">
            <v>Owens Refrigeration &amp; Car Aircon</v>
          </cell>
        </row>
        <row r="998">
          <cell r="A998" t="str">
            <v>3525</v>
          </cell>
          <cell r="B998" t="str">
            <v>Nicco's Restaurant</v>
          </cell>
        </row>
        <row r="999">
          <cell r="A999" t="str">
            <v>3526</v>
          </cell>
          <cell r="B999" t="str">
            <v>Seorabeol Grand Leisure Hotel</v>
          </cell>
        </row>
        <row r="1000">
          <cell r="A1000" t="str">
            <v>3527</v>
          </cell>
          <cell r="B1000" t="str">
            <v>Freeport Cable, Inc.</v>
          </cell>
        </row>
        <row r="1001">
          <cell r="A1001" t="str">
            <v>3528</v>
          </cell>
          <cell r="B1001" t="str">
            <v>Alchester Insurance Agency, Inc.</v>
          </cell>
        </row>
        <row r="1002">
          <cell r="A1002" t="str">
            <v>3529</v>
          </cell>
          <cell r="B1002" t="str">
            <v>Matemara, Inc.</v>
          </cell>
        </row>
        <row r="1003">
          <cell r="A1003" t="str">
            <v>3530</v>
          </cell>
          <cell r="B1003" t="str">
            <v>OMNI Capital (Far East) Co. Ltd.</v>
          </cell>
        </row>
        <row r="1004">
          <cell r="A1004" t="str">
            <v>3531</v>
          </cell>
          <cell r="B1004" t="str">
            <v>Department of Agriculture</v>
          </cell>
        </row>
        <row r="1005">
          <cell r="A1005" t="str">
            <v>3532</v>
          </cell>
          <cell r="B1005" t="str">
            <v>Asian Development Bank</v>
          </cell>
        </row>
        <row r="1006">
          <cell r="A1006" t="str">
            <v>3533</v>
          </cell>
          <cell r="B1006" t="str">
            <v>CEDCO Engineers</v>
          </cell>
        </row>
        <row r="1007">
          <cell r="A1007" t="str">
            <v>3534</v>
          </cell>
          <cell r="B1007" t="str">
            <v>I.M. Sandoval Car Aircon</v>
          </cell>
        </row>
        <row r="1008">
          <cell r="A1008" t="str">
            <v>3535</v>
          </cell>
          <cell r="B1008" t="str">
            <v>SKS Subic Property Management &amp; Consultancy, Inc.</v>
          </cell>
        </row>
        <row r="1009">
          <cell r="A1009" t="str">
            <v>3536</v>
          </cell>
          <cell r="B1009" t="str">
            <v>Consulate-General of Japan</v>
          </cell>
        </row>
        <row r="1010">
          <cell r="A1010" t="str">
            <v>3537</v>
          </cell>
          <cell r="B1010" t="str">
            <v>Triple W. Cycle &amp; Lube Parts</v>
          </cell>
        </row>
        <row r="1011">
          <cell r="A1011" t="str">
            <v>3538</v>
          </cell>
          <cell r="B1011" t="str">
            <v>Thrive Telecom and Repair Center</v>
          </cell>
        </row>
        <row r="1012">
          <cell r="A1012" t="str">
            <v>3539</v>
          </cell>
          <cell r="B1012" t="str">
            <v>Hopkins International Partners, Inc.</v>
          </cell>
        </row>
        <row r="1013">
          <cell r="A1013" t="str">
            <v>3540</v>
          </cell>
          <cell r="B1013" t="str">
            <v>Shopwise Rustan's Supercenter</v>
          </cell>
        </row>
        <row r="1014">
          <cell r="A1014" t="str">
            <v>3541</v>
          </cell>
          <cell r="B1014" t="str">
            <v>Solutions Partner, Inc.</v>
          </cell>
        </row>
        <row r="1015">
          <cell r="A1015" t="str">
            <v>3542</v>
          </cell>
          <cell r="B1015" t="str">
            <v>Izakaya Kappo Tsukiji</v>
          </cell>
        </row>
        <row r="1016">
          <cell r="A1016" t="str">
            <v>3543</v>
          </cell>
          <cell r="B1016" t="str">
            <v>JCN Printshop</v>
          </cell>
        </row>
        <row r="1017">
          <cell r="A1017" t="str">
            <v>3544</v>
          </cell>
          <cell r="B1017" t="str">
            <v>PC Depot Inc.</v>
          </cell>
        </row>
        <row r="1018">
          <cell r="A1018" t="str">
            <v>3545</v>
          </cell>
          <cell r="B1018" t="str">
            <v>Condura Express Service Makati City, Inc.</v>
          </cell>
        </row>
        <row r="1019">
          <cell r="A1019" t="str">
            <v>3546</v>
          </cell>
          <cell r="B1019" t="str">
            <v>R3 Motor Vehicle Emission Testing &amp; Car Care Center Company - Makati City Branch</v>
          </cell>
        </row>
        <row r="1020">
          <cell r="A1020" t="str">
            <v>3547</v>
          </cell>
          <cell r="B1020" t="str">
            <v>Sugi Japanese Restaurant</v>
          </cell>
        </row>
        <row r="1021">
          <cell r="A1021" t="str">
            <v>3548</v>
          </cell>
          <cell r="B1021" t="str">
            <v>STARAPPLE Computer Corporation</v>
          </cell>
        </row>
        <row r="1022">
          <cell r="A1022" t="str">
            <v>3549</v>
          </cell>
          <cell r="B1022" t="str">
            <v>Specialty Office Concepts, Inc.</v>
          </cell>
        </row>
        <row r="1023">
          <cell r="A1023" t="str">
            <v>3550</v>
          </cell>
          <cell r="B1023" t="str">
            <v>Asian Resettlement Environment &amp; Dev't Specialists</v>
          </cell>
        </row>
        <row r="1024">
          <cell r="A1024" t="str">
            <v>3551</v>
          </cell>
          <cell r="B1024" t="str">
            <v>Duo Steak House &amp; Wine Bar Corp.</v>
          </cell>
        </row>
        <row r="1025">
          <cell r="A1025" t="str">
            <v>3552</v>
          </cell>
          <cell r="B1025" t="str">
            <v>Leona's Gasoline Station</v>
          </cell>
        </row>
        <row r="1026">
          <cell r="A1026" t="str">
            <v>3553</v>
          </cell>
          <cell r="B1026" t="str">
            <v>Supersonic Services, Inc.</v>
          </cell>
        </row>
        <row r="1027">
          <cell r="A1027" t="str">
            <v>3554</v>
          </cell>
          <cell r="B1027" t="str">
            <v>Subic Bay Metropolitan Authority</v>
          </cell>
        </row>
        <row r="1028">
          <cell r="A1028" t="str">
            <v>3555</v>
          </cell>
          <cell r="B1028" t="str">
            <v>EPEE Corporation</v>
          </cell>
        </row>
        <row r="1029">
          <cell r="A1029" t="str">
            <v>3556</v>
          </cell>
          <cell r="B1029" t="str">
            <v>Mauel Trading</v>
          </cell>
        </row>
        <row r="1030">
          <cell r="A1030" t="str">
            <v>3557</v>
          </cell>
          <cell r="B1030" t="str">
            <v>Hagafea Corporation</v>
          </cell>
        </row>
        <row r="1031">
          <cell r="A1031" t="str">
            <v>3558</v>
          </cell>
          <cell r="B1031" t="str">
            <v>Tita Nia Wine Cellar, Inc.</v>
          </cell>
        </row>
        <row r="1032">
          <cell r="A1032" t="str">
            <v>3559</v>
          </cell>
          <cell r="B1032" t="str">
            <v>Arthuro S. Gabaga</v>
          </cell>
        </row>
        <row r="1033">
          <cell r="A1033" t="str">
            <v>3560</v>
          </cell>
          <cell r="B1033" t="str">
            <v>Elenita M. Diaz</v>
          </cell>
        </row>
        <row r="1034">
          <cell r="A1034" t="str">
            <v>3561</v>
          </cell>
          <cell r="B1034" t="str">
            <v>Provincial Gov't of Lanao del Norte</v>
          </cell>
        </row>
        <row r="1035">
          <cell r="A1035" t="str">
            <v>3562</v>
          </cell>
          <cell r="B1035" t="str">
            <v>Tiaura Vulcanizing &amp; Tire Supply</v>
          </cell>
        </row>
        <row r="1036">
          <cell r="A1036" t="str">
            <v>3563</v>
          </cell>
          <cell r="B1036" t="str">
            <v>Subic Duty Free Shop, Inc.</v>
          </cell>
        </row>
        <row r="1037">
          <cell r="A1037" t="str">
            <v>3564</v>
          </cell>
          <cell r="B1037" t="str">
            <v>Citylight Telecom Center</v>
          </cell>
        </row>
        <row r="1038">
          <cell r="A1038" t="str">
            <v>3565</v>
          </cell>
          <cell r="B1038" t="str">
            <v>Citra Metro Manila Tollways Corp.</v>
          </cell>
        </row>
        <row r="1039">
          <cell r="A1039" t="str">
            <v>3566</v>
          </cell>
          <cell r="B1039" t="str">
            <v>Norma T. Maestrado</v>
          </cell>
        </row>
        <row r="1040">
          <cell r="A1040" t="str">
            <v>3567</v>
          </cell>
          <cell r="B1040" t="str">
            <v>South Star Drug, Inc.</v>
          </cell>
        </row>
        <row r="1041">
          <cell r="A1041" t="str">
            <v>3568</v>
          </cell>
          <cell r="B1041" t="str">
            <v>Fontana Development Corporation</v>
          </cell>
        </row>
        <row r="1042">
          <cell r="A1042" t="str">
            <v>3569</v>
          </cell>
          <cell r="B1042" t="str">
            <v>Cheradel Suites</v>
          </cell>
        </row>
        <row r="1043">
          <cell r="A1043" t="str">
            <v>3570</v>
          </cell>
          <cell r="B1043" t="str">
            <v>Oasis Hotel</v>
          </cell>
        </row>
        <row r="1044">
          <cell r="A1044" t="str">
            <v>3571</v>
          </cell>
          <cell r="B1044" t="str">
            <v>Cebu Park Tower Two Condominium Corporation</v>
          </cell>
        </row>
        <row r="1045">
          <cell r="A1045" t="str">
            <v>3572</v>
          </cell>
          <cell r="B1045" t="str">
            <v>Western Guaranty Corporation</v>
          </cell>
        </row>
        <row r="1046">
          <cell r="A1046" t="str">
            <v>3573</v>
          </cell>
          <cell r="B1046" t="str">
            <v>Subicworx, Inc.</v>
          </cell>
        </row>
        <row r="1047">
          <cell r="A1047" t="str">
            <v>3574</v>
          </cell>
          <cell r="B1047" t="str">
            <v>Japman Magazine Distributor</v>
          </cell>
        </row>
        <row r="1048">
          <cell r="A1048" t="str">
            <v>3575</v>
          </cell>
          <cell r="B1048" t="str">
            <v>Community Innovations, Inc.</v>
          </cell>
        </row>
        <row r="1049">
          <cell r="A1049" t="str">
            <v>3576</v>
          </cell>
          <cell r="B1049" t="str">
            <v>Nexus Technologies, Inc.</v>
          </cell>
        </row>
        <row r="1050">
          <cell r="A1050" t="str">
            <v>3577</v>
          </cell>
          <cell r="B1050" t="str">
            <v>Frosty Bites Café &amp; Refreshment</v>
          </cell>
        </row>
        <row r="1051">
          <cell r="A1051" t="str">
            <v>3578</v>
          </cell>
          <cell r="B1051" t="str">
            <v>Western Marketing Corporation</v>
          </cell>
        </row>
        <row r="1052">
          <cell r="A1052" t="str">
            <v>3579</v>
          </cell>
          <cell r="B1052" t="str">
            <v>Geodynamic Drilling Services</v>
          </cell>
        </row>
        <row r="1053">
          <cell r="A1053" t="str">
            <v>3580</v>
          </cell>
          <cell r="B1053" t="str">
            <v>Chato Alamo Lipat Bahay</v>
          </cell>
        </row>
        <row r="1054">
          <cell r="A1054" t="str">
            <v>3581</v>
          </cell>
          <cell r="B1054" t="str">
            <v>Fortune General Insurance Corporation</v>
          </cell>
        </row>
        <row r="1055">
          <cell r="A1055" t="str">
            <v>3582</v>
          </cell>
          <cell r="B1055" t="str">
            <v>Four by Four Rent A Car</v>
          </cell>
        </row>
        <row r="1056">
          <cell r="A1056" t="str">
            <v>3583</v>
          </cell>
          <cell r="B1056" t="str">
            <v>JLK Trucking Inc.</v>
          </cell>
        </row>
        <row r="1057">
          <cell r="A1057" t="str">
            <v>3584</v>
          </cell>
          <cell r="B1057" t="str">
            <v>Collecticons Inc</v>
          </cell>
        </row>
        <row r="1058">
          <cell r="A1058" t="str">
            <v>3585</v>
          </cell>
          <cell r="B1058" t="str">
            <v>Luchen Marie E. Dechos</v>
          </cell>
        </row>
        <row r="1059">
          <cell r="A1059" t="str">
            <v>3586</v>
          </cell>
          <cell r="B1059" t="str">
            <v>Rhenalie L. Rosaldo</v>
          </cell>
        </row>
        <row r="1060">
          <cell r="A1060" t="str">
            <v>3587</v>
          </cell>
          <cell r="B1060" t="str">
            <v>Sharon M. Operario</v>
          </cell>
        </row>
        <row r="1061">
          <cell r="A1061" t="str">
            <v>3588</v>
          </cell>
          <cell r="B1061" t="str">
            <v>Marimar Executive Inn Inc.</v>
          </cell>
        </row>
        <row r="1062">
          <cell r="A1062" t="str">
            <v>3589</v>
          </cell>
          <cell r="B1062" t="str">
            <v>Iligan Datavision Sales Center</v>
          </cell>
        </row>
        <row r="1063">
          <cell r="A1063" t="str">
            <v>3590</v>
          </cell>
          <cell r="B1063" t="str">
            <v>Richie's Caltex Station</v>
          </cell>
        </row>
        <row r="1064">
          <cell r="A1064" t="str">
            <v>3591</v>
          </cell>
          <cell r="B1064" t="str">
            <v>Pangasinan Auto Electrical &amp; Car Aircon</v>
          </cell>
        </row>
        <row r="1065">
          <cell r="A1065" t="str">
            <v>3592</v>
          </cell>
          <cell r="B1065" t="str">
            <v>Carland Marketing</v>
          </cell>
        </row>
        <row r="1066">
          <cell r="A1066" t="str">
            <v>3593</v>
          </cell>
          <cell r="B1066" t="str">
            <v>Inkland Enterprise</v>
          </cell>
        </row>
        <row r="1067">
          <cell r="A1067" t="str">
            <v>3594</v>
          </cell>
          <cell r="B1067" t="str">
            <v>Java+ Marriott</v>
          </cell>
        </row>
        <row r="1068">
          <cell r="A1068" t="str">
            <v>3595</v>
          </cell>
          <cell r="B1068" t="str">
            <v>Mc Bass Entertainment Corporation</v>
          </cell>
        </row>
        <row r="1069">
          <cell r="A1069" t="str">
            <v>3596</v>
          </cell>
          <cell r="B1069" t="str">
            <v>Sunshine Transaportation, Inc.</v>
          </cell>
        </row>
        <row r="1070">
          <cell r="A1070" t="str">
            <v>3597</v>
          </cell>
          <cell r="B1070" t="str">
            <v>Petron Mia Car Check Center</v>
          </cell>
        </row>
        <row r="1071">
          <cell r="A1071" t="str">
            <v>3598</v>
          </cell>
          <cell r="B1071" t="str">
            <v>CMC Lumber &amp; Construction Supply Inc.</v>
          </cell>
        </row>
        <row r="1072">
          <cell r="A1072" t="str">
            <v>3599</v>
          </cell>
          <cell r="B1072" t="str">
            <v>21st Century Gas House</v>
          </cell>
        </row>
        <row r="1073">
          <cell r="A1073" t="str">
            <v>3600</v>
          </cell>
          <cell r="B1073" t="str">
            <v>StrateGICT Company</v>
          </cell>
        </row>
        <row r="1074">
          <cell r="A1074" t="str">
            <v>3601</v>
          </cell>
          <cell r="B1074" t="str">
            <v>P.J. Home Cleaning</v>
          </cell>
        </row>
        <row r="1075">
          <cell r="A1075" t="str">
            <v>3602</v>
          </cell>
          <cell r="B1075" t="str">
            <v>LBC Express-CMM, Inc.</v>
          </cell>
        </row>
        <row r="1076">
          <cell r="A1076" t="str">
            <v>3603</v>
          </cell>
          <cell r="B1076" t="str">
            <v>Lucid Motor Parts Supply</v>
          </cell>
        </row>
        <row r="1077">
          <cell r="A1077" t="str">
            <v>3604</v>
          </cell>
          <cell r="B1077" t="str">
            <v>MGK3 Battery Sales, Inc.</v>
          </cell>
        </row>
        <row r="1078">
          <cell r="A1078" t="str">
            <v>3605</v>
          </cell>
          <cell r="B1078" t="str">
            <v>ZAB Enterprises</v>
          </cell>
        </row>
        <row r="1079">
          <cell r="A1079" t="str">
            <v>3606</v>
          </cell>
          <cell r="B1079" t="str">
            <v>Shoichi Muraoka</v>
          </cell>
        </row>
        <row r="1080">
          <cell r="A1080" t="str">
            <v>3607</v>
          </cell>
          <cell r="B1080" t="str">
            <v>Centerlink Car Care Center</v>
          </cell>
        </row>
        <row r="1081">
          <cell r="A1081" t="str">
            <v>3608</v>
          </cell>
          <cell r="B1081" t="str">
            <v>Pan Pacific Hotel Manila</v>
          </cell>
        </row>
        <row r="1082">
          <cell r="A1082" t="str">
            <v>3609</v>
          </cell>
          <cell r="B1082" t="str">
            <v>Carpaccio Ristorante</v>
          </cell>
        </row>
        <row r="1083">
          <cell r="A1083" t="str">
            <v>3610</v>
          </cell>
          <cell r="B1083" t="str">
            <v>Cebu Air, Inc.</v>
          </cell>
        </row>
        <row r="1084">
          <cell r="A1084" t="str">
            <v>3611</v>
          </cell>
          <cell r="B1084" t="str">
            <v>UPLB Foundation, Inc.</v>
          </cell>
        </row>
        <row r="1085">
          <cell r="A1085" t="str">
            <v>3612</v>
          </cell>
          <cell r="B1085" t="str">
            <v>Bento Box Japanese-American Bistro</v>
          </cell>
        </row>
        <row r="1086">
          <cell r="A1086" t="str">
            <v>3613</v>
          </cell>
          <cell r="B1086" t="str">
            <v>Diamond Hotel</v>
          </cell>
        </row>
        <row r="1087">
          <cell r="A1087" t="str">
            <v>3614</v>
          </cell>
          <cell r="B1087" t="str">
            <v>Metro Parking Management (Philippines) Inc.</v>
          </cell>
        </row>
        <row r="1088">
          <cell r="A1088" t="str">
            <v>3615</v>
          </cell>
          <cell r="B1088" t="str">
            <v>Petron Efvill Enterprises</v>
          </cell>
        </row>
        <row r="1089">
          <cell r="A1089" t="str">
            <v>3616</v>
          </cell>
          <cell r="B1089" t="str">
            <v>Petron Enercon Fuel Services, Inc.</v>
          </cell>
        </row>
        <row r="1090">
          <cell r="A1090" t="str">
            <v>3617</v>
          </cell>
          <cell r="B1090" t="str">
            <v>Securities &amp; Exchange Commission</v>
          </cell>
        </row>
        <row r="1091">
          <cell r="A1091" t="str">
            <v>3618</v>
          </cell>
          <cell r="B1091" t="str">
            <v>Jayjay Brake &amp; Clutch Auto Supply</v>
          </cell>
        </row>
        <row r="1092">
          <cell r="A1092" t="str">
            <v>3619</v>
          </cell>
          <cell r="B1092" t="str">
            <v>Netson Merchandising</v>
          </cell>
        </row>
        <row r="1093">
          <cell r="A1093" t="str">
            <v>3620</v>
          </cell>
          <cell r="B1093" t="str">
            <v>Brazilian Restaurant</v>
          </cell>
        </row>
        <row r="1094">
          <cell r="A1094" t="str">
            <v>3621</v>
          </cell>
          <cell r="B1094" t="str">
            <v>Puregold Price Club, Inc.</v>
          </cell>
        </row>
        <row r="1095">
          <cell r="A1095" t="str">
            <v>3622</v>
          </cell>
          <cell r="B1095" t="str">
            <v>Sherwin M. Sambu</v>
          </cell>
        </row>
        <row r="1096">
          <cell r="A1096" t="str">
            <v>3623</v>
          </cell>
          <cell r="B1096" t="str">
            <v>People's General Insurance Corporation</v>
          </cell>
        </row>
        <row r="1097">
          <cell r="A1097" t="str">
            <v>3624</v>
          </cell>
          <cell r="B1097" t="str">
            <v>ESPA-FIL Import &amp; Export Corp.</v>
          </cell>
        </row>
        <row r="1098">
          <cell r="A1098" t="str">
            <v>3625</v>
          </cell>
          <cell r="B1098" t="str">
            <v>Haymarket Media Limited</v>
          </cell>
        </row>
        <row r="1099">
          <cell r="A1099" t="str">
            <v>3626</v>
          </cell>
          <cell r="B1099" t="str">
            <v>Bay's Inn</v>
          </cell>
        </row>
        <row r="1100">
          <cell r="A1100" t="str">
            <v>3627</v>
          </cell>
          <cell r="B1100" t="str">
            <v>Petron Freeport Corporation</v>
          </cell>
        </row>
        <row r="1101">
          <cell r="A1101" t="str">
            <v>3628</v>
          </cell>
          <cell r="B1101" t="str">
            <v>Petronzone Oil Marketing</v>
          </cell>
        </row>
        <row r="1102">
          <cell r="A1102" t="str">
            <v>3629</v>
          </cell>
          <cell r="B1102" t="str">
            <v>Bermuda Drive Inn</v>
          </cell>
        </row>
        <row r="1103">
          <cell r="A1103" t="str">
            <v>3630</v>
          </cell>
          <cell r="B1103" t="str">
            <v>Petron JN Summit One Corp.</v>
          </cell>
        </row>
        <row r="1104">
          <cell r="A1104" t="str">
            <v>3631</v>
          </cell>
          <cell r="B1104" t="str">
            <v>Alabang Parts Center, Inc.</v>
          </cell>
        </row>
        <row r="1105">
          <cell r="A1105" t="str">
            <v>3632</v>
          </cell>
          <cell r="B1105" t="str">
            <v>Roencar Corporation Petron Service Station</v>
          </cell>
        </row>
        <row r="1106">
          <cell r="A1106" t="str">
            <v>3633</v>
          </cell>
          <cell r="B1106" t="str">
            <v>J. Habal AC Electrical &amp; Gen. Services</v>
          </cell>
        </row>
        <row r="1107">
          <cell r="A1107" t="str">
            <v>3634</v>
          </cell>
          <cell r="B1107" t="str">
            <v>Danamic &amp; Static Computer Parts &amp; Supply</v>
          </cell>
        </row>
        <row r="1108">
          <cell r="A1108" t="str">
            <v>3635</v>
          </cell>
          <cell r="B1108" t="str">
            <v>Excelta Trading Corporation</v>
          </cell>
        </row>
        <row r="1109">
          <cell r="A1109" t="str">
            <v>3636</v>
          </cell>
          <cell r="B1109" t="str">
            <v>M.A.C. Performance Auto Accessories</v>
          </cell>
        </row>
        <row r="1110">
          <cell r="A1110" t="str">
            <v>3637</v>
          </cell>
          <cell r="B1110" t="str">
            <v>Harry's Enterprises</v>
          </cell>
        </row>
        <row r="1111">
          <cell r="A1111" t="str">
            <v>3638</v>
          </cell>
          <cell r="B1111" t="str">
            <v>NAMRIA-National Mapping &amp; Resource Information Authority</v>
          </cell>
        </row>
        <row r="1112">
          <cell r="A1112" t="str">
            <v>3639</v>
          </cell>
          <cell r="B1112" t="str">
            <v>Gillesania Printing Press</v>
          </cell>
        </row>
        <row r="1113">
          <cell r="A1113" t="str">
            <v>3640</v>
          </cell>
          <cell r="B1113" t="str">
            <v>Oxford Hotel</v>
          </cell>
        </row>
        <row r="1114">
          <cell r="A1114" t="str">
            <v>3641</v>
          </cell>
          <cell r="B1114" t="str">
            <v>Garland Marketing</v>
          </cell>
        </row>
        <row r="1115">
          <cell r="A1115" t="str">
            <v>3642</v>
          </cell>
          <cell r="B1115" t="str">
            <v>Malugay Gasoline Station</v>
          </cell>
        </row>
        <row r="1116">
          <cell r="A1116" t="str">
            <v>3643</v>
          </cell>
          <cell r="B1116" t="str">
            <v>Gerry's Grill</v>
          </cell>
        </row>
        <row r="1117">
          <cell r="A1117" t="str">
            <v>3644</v>
          </cell>
          <cell r="B1117" t="str">
            <v>CJK Trading</v>
          </cell>
        </row>
        <row r="1118">
          <cell r="A1118" t="str">
            <v>3645</v>
          </cell>
          <cell r="B1118" t="str">
            <v>Kenny Rogers Roasters</v>
          </cell>
        </row>
        <row r="1119">
          <cell r="A1119" t="str">
            <v>3646</v>
          </cell>
          <cell r="B1119" t="str">
            <v>Citimotor's, Inc.</v>
          </cell>
        </row>
        <row r="1120">
          <cell r="A1120" t="str">
            <v>3647</v>
          </cell>
          <cell r="B1120" t="str">
            <v>Mr. Inkcredible</v>
          </cell>
        </row>
        <row r="1121">
          <cell r="A1121" t="str">
            <v>3648</v>
          </cell>
          <cell r="B1121" t="str">
            <v>Manila North Tollways Corp.</v>
          </cell>
        </row>
        <row r="1122">
          <cell r="A1122" t="str">
            <v>3649</v>
          </cell>
          <cell r="B1122" t="str">
            <v>John Ray's loading Station</v>
          </cell>
        </row>
        <row r="1123">
          <cell r="A1123" t="str">
            <v>3650</v>
          </cell>
          <cell r="B1123" t="str">
            <v>Jao Old and New PC Center</v>
          </cell>
        </row>
        <row r="1124">
          <cell r="A1124" t="str">
            <v>3651</v>
          </cell>
          <cell r="B1124" t="str">
            <v>Subic Coastal Dev't Corp</v>
          </cell>
        </row>
        <row r="1125">
          <cell r="A1125" t="str">
            <v>3652</v>
          </cell>
          <cell r="B1125" t="str">
            <v>Swire Travel Philippines Inc.</v>
          </cell>
        </row>
        <row r="1126">
          <cell r="A1126" t="str">
            <v>3653</v>
          </cell>
          <cell r="B1126" t="str">
            <v>Los Polluelos Lechon and Fastfood</v>
          </cell>
        </row>
        <row r="1127">
          <cell r="A1127" t="str">
            <v>3654</v>
          </cell>
          <cell r="B1127" t="str">
            <v>Buena Casa Hosteria Inc.</v>
          </cell>
        </row>
        <row r="1128">
          <cell r="A1128" t="str">
            <v>3655</v>
          </cell>
          <cell r="B1128" t="str">
            <v>SM Department Store Pampanga</v>
          </cell>
        </row>
        <row r="1129">
          <cell r="A1129" t="str">
            <v>3656</v>
          </cell>
          <cell r="B1129" t="str">
            <v>Trailfinder Travel and Tours Corp.</v>
          </cell>
        </row>
        <row r="1130">
          <cell r="A1130" t="str">
            <v>3657</v>
          </cell>
          <cell r="B1130" t="str">
            <v>Tri-Speed Telecenter</v>
          </cell>
        </row>
        <row r="1131">
          <cell r="A1131" t="str">
            <v>3658</v>
          </cell>
          <cell r="B1131" t="str">
            <v>Durban Street Inn</v>
          </cell>
        </row>
        <row r="1132">
          <cell r="A1132" t="str">
            <v>3659</v>
          </cell>
          <cell r="B1132" t="str">
            <v>Coconut Bay Beach Resort</v>
          </cell>
        </row>
        <row r="1133">
          <cell r="A1133" t="str">
            <v>3660</v>
          </cell>
          <cell r="B1133" t="str">
            <v>Blue Coral Beach Resort</v>
          </cell>
        </row>
        <row r="1134">
          <cell r="A1134" t="str">
            <v>3661</v>
          </cell>
          <cell r="B1134" t="str">
            <v>Green Peace Emission Testing Center</v>
          </cell>
        </row>
        <row r="1135">
          <cell r="A1135" t="str">
            <v>3662</v>
          </cell>
          <cell r="B1135" t="str">
            <v>Philippine Fire and Marine Insurance Corporation</v>
          </cell>
        </row>
        <row r="1136">
          <cell r="A1136" t="str">
            <v>3663</v>
          </cell>
          <cell r="B1136" t="str">
            <v>Consolidated Global Imports, Inc.</v>
          </cell>
        </row>
        <row r="1137">
          <cell r="A1137" t="str">
            <v>3664</v>
          </cell>
          <cell r="B1137" t="str">
            <v>AA Isda Baboy N' Bbq, Inc.</v>
          </cell>
        </row>
        <row r="1138">
          <cell r="A1138" t="str">
            <v>3665</v>
          </cell>
          <cell r="B1138" t="str">
            <v>Malaya Lumber and Construction Supply, Inc.</v>
          </cell>
        </row>
        <row r="1139">
          <cell r="A1139" t="str">
            <v>3666</v>
          </cell>
          <cell r="B1139" t="str">
            <v>6805 Ayala Avenue Condominium Corporation</v>
          </cell>
        </row>
        <row r="1140">
          <cell r="A1140" t="str">
            <v>3667</v>
          </cell>
          <cell r="B1140" t="str">
            <v>Teresita U. Sy</v>
          </cell>
        </row>
        <row r="1141">
          <cell r="A1141" t="str">
            <v>3668</v>
          </cell>
          <cell r="B1141" t="str">
            <v>Light Rail Transit Authority</v>
          </cell>
        </row>
        <row r="1142">
          <cell r="A1142" t="str">
            <v>3669</v>
          </cell>
          <cell r="B1142" t="str">
            <v>Somerset Millennium Makati City Serviced Residences</v>
          </cell>
        </row>
        <row r="1143">
          <cell r="A1143" t="str">
            <v>3670</v>
          </cell>
          <cell r="B1143" t="str">
            <v>Islandphoto Center, Inc.</v>
          </cell>
        </row>
        <row r="1144">
          <cell r="A1144" t="str">
            <v>3671</v>
          </cell>
          <cell r="B1144" t="str">
            <v>Cfal Oasis Development Corporation</v>
          </cell>
        </row>
        <row r="1145">
          <cell r="A1145" t="str">
            <v>3672</v>
          </cell>
          <cell r="B1145" t="str">
            <v>Sky Cable Corporation</v>
          </cell>
        </row>
        <row r="1146">
          <cell r="A1146" t="str">
            <v>3673</v>
          </cell>
          <cell r="B1146" t="str">
            <v>The Peninsula Manila</v>
          </cell>
        </row>
        <row r="1147">
          <cell r="A1147" t="str">
            <v>3674</v>
          </cell>
          <cell r="B1147" t="str">
            <v>Concorde Car Accessories Center</v>
          </cell>
        </row>
        <row r="1148">
          <cell r="A1148" t="str">
            <v>3675</v>
          </cell>
          <cell r="B1148" t="str">
            <v>Capstone Technologies, Inc.</v>
          </cell>
        </row>
        <row r="1149">
          <cell r="A1149" t="str">
            <v>3676</v>
          </cell>
          <cell r="B1149" t="str">
            <v>Hermaco Commercial, Inc.</v>
          </cell>
        </row>
        <row r="1150">
          <cell r="A1150" t="str">
            <v>3677</v>
          </cell>
          <cell r="B1150" t="str">
            <v>Complink Marketing, Inc.</v>
          </cell>
        </row>
        <row r="1151">
          <cell r="A1151" t="str">
            <v>3678</v>
          </cell>
          <cell r="B1151" t="str">
            <v>Beawmont Distributions, Inc.</v>
          </cell>
        </row>
        <row r="1152">
          <cell r="A1152" t="str">
            <v>3679</v>
          </cell>
          <cell r="B1152" t="str">
            <v>One Legaspi Park Residential Condominium Corp.</v>
          </cell>
        </row>
        <row r="1153">
          <cell r="A1153" t="str">
            <v>3680</v>
          </cell>
          <cell r="B1153" t="str">
            <v>BestBuy Office Equipment, Inc.</v>
          </cell>
        </row>
        <row r="1154">
          <cell r="A1154" t="str">
            <v>3681</v>
          </cell>
          <cell r="B1154" t="str">
            <v>Café France Corp.</v>
          </cell>
        </row>
        <row r="1155">
          <cell r="A1155" t="str">
            <v>3682</v>
          </cell>
          <cell r="B1155" t="str">
            <v>Silicon Forest Phils., Inc.</v>
          </cell>
        </row>
        <row r="1156">
          <cell r="A1156" t="str">
            <v>3683</v>
          </cell>
          <cell r="B1156" t="str">
            <v>MVER Printing Services</v>
          </cell>
        </row>
        <row r="1157">
          <cell r="A1157" t="str">
            <v>3684</v>
          </cell>
          <cell r="B1157" t="str">
            <v>Robinsons Department Store</v>
          </cell>
        </row>
        <row r="1158">
          <cell r="A1158" t="str">
            <v>3685</v>
          </cell>
          <cell r="B1158" t="str">
            <v>Vega Star Gas &amp; Service Station</v>
          </cell>
        </row>
        <row r="1159">
          <cell r="A1159" t="str">
            <v>3686</v>
          </cell>
          <cell r="B1159" t="str">
            <v>Abenson Ventures, Inc.</v>
          </cell>
        </row>
        <row r="1160">
          <cell r="A1160" t="str">
            <v>3687</v>
          </cell>
          <cell r="B1160" t="str">
            <v>Banados Auto Kalikot &amp; Gen. Mdse. Corp.</v>
          </cell>
        </row>
        <row r="1161">
          <cell r="A1161" t="str">
            <v>3688</v>
          </cell>
          <cell r="B1161" t="str">
            <v>PMaCS, Inc.</v>
          </cell>
        </row>
        <row r="1162">
          <cell r="A1162" t="str">
            <v>3689</v>
          </cell>
          <cell r="B1162" t="str">
            <v>Nippon Express Philippines Corp.</v>
          </cell>
        </row>
        <row r="1163">
          <cell r="A1163" t="str">
            <v>3690</v>
          </cell>
          <cell r="B1163" t="str">
            <v>Hub Computers, Inc.</v>
          </cell>
        </row>
        <row r="1164">
          <cell r="A1164" t="str">
            <v>3691</v>
          </cell>
          <cell r="B1164" t="str">
            <v>Hotel Enterprises of the Phils., Inc.</v>
          </cell>
        </row>
        <row r="1165">
          <cell r="A1165" t="str">
            <v>3692</v>
          </cell>
          <cell r="B1165" t="str">
            <v>Crowne Plaza</v>
          </cell>
        </row>
        <row r="1166">
          <cell r="A1166" t="str">
            <v>3693</v>
          </cell>
          <cell r="B1166" t="str">
            <v>Yamazaki Ramen House &amp; Grocery</v>
          </cell>
        </row>
        <row r="1167">
          <cell r="A1167" t="str">
            <v>3694</v>
          </cell>
          <cell r="B1167" t="str">
            <v>Hai Shin Lou Seafood King Restaurant</v>
          </cell>
        </row>
        <row r="1168">
          <cell r="A1168" t="str">
            <v>3695</v>
          </cell>
          <cell r="B1168" t="str">
            <v>The Allure Hotel &amp; Suites</v>
          </cell>
        </row>
        <row r="1169">
          <cell r="A1169" t="str">
            <v>3696</v>
          </cell>
          <cell r="B1169" t="str">
            <v>Combinar Trading</v>
          </cell>
        </row>
        <row r="1170">
          <cell r="A1170" t="str">
            <v>3697</v>
          </cell>
          <cell r="B1170" t="str">
            <v>Esco Service Station</v>
          </cell>
        </row>
        <row r="1171">
          <cell r="A1171" t="str">
            <v>3698</v>
          </cell>
          <cell r="B1171" t="str">
            <v>Office Haven, Inc.</v>
          </cell>
        </row>
        <row r="1172">
          <cell r="A1172" t="str">
            <v>3699</v>
          </cell>
          <cell r="B1172" t="str">
            <v>The Computer Authority, Inc.</v>
          </cell>
        </row>
        <row r="1173">
          <cell r="A1173" t="str">
            <v>3700</v>
          </cell>
          <cell r="B1173" t="str">
            <v>Terrazas Gas Station</v>
          </cell>
        </row>
        <row r="1174">
          <cell r="A1174" t="str">
            <v>3701</v>
          </cell>
          <cell r="B1174" t="str">
            <v>Nautilus Bags and Garments</v>
          </cell>
        </row>
        <row r="1175">
          <cell r="A1175" t="str">
            <v>3702</v>
          </cell>
          <cell r="B1175" t="str">
            <v>Merg Realty and Development Corp.</v>
          </cell>
        </row>
        <row r="1176">
          <cell r="A1176" t="str">
            <v>3703</v>
          </cell>
          <cell r="B1176" t="str">
            <v>Blims Fine Furniture</v>
          </cell>
        </row>
        <row r="1177">
          <cell r="A1177" t="str">
            <v>3704</v>
          </cell>
          <cell r="B1177" t="str">
            <v>Gomag's Trading</v>
          </cell>
        </row>
        <row r="1178">
          <cell r="A1178" t="str">
            <v>3705</v>
          </cell>
          <cell r="B1178" t="str">
            <v>Nihonbashi Tei Izakaya Restaurant</v>
          </cell>
        </row>
        <row r="1179">
          <cell r="A1179" t="str">
            <v>3706</v>
          </cell>
          <cell r="B1179" t="str">
            <v>Achiever's Fuel and Service Center</v>
          </cell>
        </row>
        <row r="1180">
          <cell r="A1180" t="str">
            <v>3707</v>
          </cell>
          <cell r="B1180" t="str">
            <v>V-Craft Society Printers, Inc.</v>
          </cell>
        </row>
        <row r="1181">
          <cell r="A1181" t="str">
            <v>3708</v>
          </cell>
          <cell r="B1181" t="str">
            <v>Brofar Motor Works, Inc.</v>
          </cell>
        </row>
        <row r="1182">
          <cell r="A1182" t="str">
            <v>3709</v>
          </cell>
          <cell r="B1182" t="str">
            <v>One Mall'O Poly World, Inc.</v>
          </cell>
        </row>
        <row r="1183">
          <cell r="A1183" t="str">
            <v>3710</v>
          </cell>
          <cell r="B1183" t="str">
            <v>Manila Hotel</v>
          </cell>
        </row>
        <row r="1184">
          <cell r="A1184" t="str">
            <v>3711</v>
          </cell>
          <cell r="B1184" t="str">
            <v>Taurus Autosupply</v>
          </cell>
        </row>
        <row r="1185">
          <cell r="A1185" t="str">
            <v>3712</v>
          </cell>
          <cell r="B1185" t="str">
            <v>DLSU Shell Station</v>
          </cell>
        </row>
        <row r="1186">
          <cell r="A1186" t="str">
            <v>3713</v>
          </cell>
          <cell r="B1186" t="str">
            <v>Willymart Merchandising</v>
          </cell>
        </row>
        <row r="1187">
          <cell r="A1187" t="str">
            <v>3714</v>
          </cell>
          <cell r="B1187" t="str">
            <v>Krispy Kreme Doughnuts and Coffee</v>
          </cell>
        </row>
        <row r="1188">
          <cell r="A1188" t="str">
            <v>3715</v>
          </cell>
          <cell r="B1188" t="str">
            <v>Paramount Life and General Insurance, Corp.</v>
          </cell>
        </row>
        <row r="1189">
          <cell r="A1189" t="str">
            <v>3716</v>
          </cell>
          <cell r="B1189" t="str">
            <v>Moltron Petron Gas Service Station</v>
          </cell>
        </row>
        <row r="1190">
          <cell r="A1190" t="str">
            <v>3717</v>
          </cell>
          <cell r="B1190" t="str">
            <v>Firstfoods Food Services, Inc.</v>
          </cell>
        </row>
        <row r="1191">
          <cell r="A1191" t="str">
            <v>3718</v>
          </cell>
          <cell r="B1191" t="str">
            <v>Charlex International Corp.</v>
          </cell>
        </row>
        <row r="1192">
          <cell r="A1192" t="str">
            <v>3719</v>
          </cell>
          <cell r="B1192" t="str">
            <v>Montemar Beach Club, Inc.</v>
          </cell>
        </row>
        <row r="1193">
          <cell r="A1193" t="str">
            <v>3720</v>
          </cell>
          <cell r="B1193" t="str">
            <v>Perry's Fuel Distribution Inc.</v>
          </cell>
        </row>
        <row r="1194">
          <cell r="A1194" t="str">
            <v>3721</v>
          </cell>
          <cell r="B1194" t="str">
            <v>Hewlett-Packard Phils. Corp.</v>
          </cell>
        </row>
        <row r="1195">
          <cell r="A1195" t="str">
            <v>3722</v>
          </cell>
          <cell r="B1195" t="str">
            <v>Commerce One Business Solution, Inc.</v>
          </cell>
        </row>
        <row r="1196">
          <cell r="A1196" t="str">
            <v>3723</v>
          </cell>
          <cell r="B1196" t="str">
            <v>Budget Travel and Tours Inc.</v>
          </cell>
        </row>
        <row r="1197">
          <cell r="A1197" t="str">
            <v>3724</v>
          </cell>
          <cell r="B1197" t="str">
            <v>Stronghold Insurance Company, Inc.</v>
          </cell>
        </row>
        <row r="1198">
          <cell r="A1198" t="str">
            <v>3725</v>
          </cell>
          <cell r="B1198" t="str">
            <v>J. G. Colo Newspaper Dealer &amp; Services</v>
          </cell>
        </row>
        <row r="1199">
          <cell r="A1199" t="str">
            <v>3726</v>
          </cell>
          <cell r="B1199" t="str">
            <v>Bistro Mondo</v>
          </cell>
        </row>
        <row r="1200">
          <cell r="A1200" t="str">
            <v>3727</v>
          </cell>
          <cell r="B1200" t="str">
            <v>La Dolce Vita.Com Inc.</v>
          </cell>
        </row>
        <row r="1201">
          <cell r="A1201" t="str">
            <v>3728</v>
          </cell>
          <cell r="B1201" t="str">
            <v>American English Skills Development Center, Inc.</v>
          </cell>
        </row>
        <row r="1202">
          <cell r="A1202" t="str">
            <v>3729</v>
          </cell>
          <cell r="B1202" t="str">
            <v>P&amp;A Grant Thornton Outsourcing, Inc.</v>
          </cell>
        </row>
        <row r="1203">
          <cell r="A1203" t="str">
            <v>3730</v>
          </cell>
          <cell r="B1203" t="str">
            <v>O Drive Car Accessories &amp; Car Wash Center</v>
          </cell>
        </row>
        <row r="1204">
          <cell r="A1204" t="str">
            <v>3731</v>
          </cell>
          <cell r="B1204" t="str">
            <v>Iver Car Aircon Services</v>
          </cell>
        </row>
        <row r="1205">
          <cell r="A1205" t="str">
            <v>3732</v>
          </cell>
          <cell r="B1205" t="str">
            <v>Source Car Rental</v>
          </cell>
        </row>
        <row r="1206">
          <cell r="A1206" t="str">
            <v>3733</v>
          </cell>
          <cell r="B1206" t="str">
            <v>CVJ Printing Services</v>
          </cell>
        </row>
        <row r="1207">
          <cell r="A1207" t="str">
            <v>3734</v>
          </cell>
          <cell r="B1207" t="str">
            <v>A.K.T. Wood &amp; Construction Supply</v>
          </cell>
        </row>
        <row r="1208">
          <cell r="A1208" t="str">
            <v>3735</v>
          </cell>
          <cell r="B1208" t="str">
            <v>CCI Petroleum Distribution Inc.</v>
          </cell>
        </row>
        <row r="1209">
          <cell r="A1209" t="str">
            <v>3736</v>
          </cell>
          <cell r="B1209" t="str">
            <v>Kowloon House, Inc.</v>
          </cell>
        </row>
        <row r="1210">
          <cell r="A1210" t="str">
            <v>3737</v>
          </cell>
          <cell r="B1210" t="str">
            <v>Nissan West AlabangShaw Center</v>
          </cell>
        </row>
        <row r="1211">
          <cell r="A1211" t="str">
            <v>3738</v>
          </cell>
          <cell r="B1211" t="str">
            <v>Macan Print Shop</v>
          </cell>
        </row>
        <row r="1212">
          <cell r="A1212" t="str">
            <v>3739</v>
          </cell>
          <cell r="B1212" t="str">
            <v>Hamungaya Sugarmill</v>
          </cell>
        </row>
        <row r="1213">
          <cell r="A1213" t="str">
            <v>3740</v>
          </cell>
          <cell r="B1213" t="str">
            <v>Zafra Motor Works</v>
          </cell>
        </row>
        <row r="1214">
          <cell r="A1214" t="str">
            <v>3741</v>
          </cell>
          <cell r="B1214" t="str">
            <v>Wendy's Hamburger Restaurant</v>
          </cell>
        </row>
        <row r="1215">
          <cell r="A1215" t="str">
            <v>3742</v>
          </cell>
          <cell r="B1215" t="str">
            <v>The Manor Camp John Hay</v>
          </cell>
        </row>
        <row r="1216">
          <cell r="A1216" t="str">
            <v>3743</v>
          </cell>
          <cell r="B1216" t="str">
            <v>RPG Water Station</v>
          </cell>
        </row>
        <row r="1217">
          <cell r="A1217" t="str">
            <v>3744</v>
          </cell>
          <cell r="B1217" t="str">
            <v>Australian Embassy</v>
          </cell>
        </row>
        <row r="1218">
          <cell r="A1218" t="str">
            <v>3745</v>
          </cell>
          <cell r="B1218" t="str">
            <v>Cebu Big Mao Chinese Bistro</v>
          </cell>
        </row>
        <row r="1219">
          <cell r="A1219" t="str">
            <v>3746</v>
          </cell>
          <cell r="B1219" t="str">
            <v>Cebu Parklane International Hotel</v>
          </cell>
        </row>
        <row r="1220">
          <cell r="A1220" t="str">
            <v>3747</v>
          </cell>
          <cell r="B1220" t="str">
            <v>Pacific Cross Insurance Company Limited</v>
          </cell>
        </row>
        <row r="1221">
          <cell r="A1221" t="str">
            <v>3748</v>
          </cell>
          <cell r="B1221" t="str">
            <v>R.G.L. Auto Parts</v>
          </cell>
        </row>
        <row r="1222">
          <cell r="A1222" t="str">
            <v>3749</v>
          </cell>
          <cell r="B1222" t="str">
            <v>CD Technologies Asia, Inc.</v>
          </cell>
        </row>
        <row r="1223">
          <cell r="A1223" t="str">
            <v>3750</v>
          </cell>
          <cell r="B1223" t="str">
            <v>Nestor T. Horfilla</v>
          </cell>
        </row>
        <row r="1224">
          <cell r="A1224" t="str">
            <v>3751</v>
          </cell>
          <cell r="B1224" t="str">
            <v>Queen Margarette Hotel, Inc.</v>
          </cell>
        </row>
        <row r="1225">
          <cell r="A1225" t="str">
            <v>3752</v>
          </cell>
          <cell r="B1225" t="str">
            <v>Matutina-Gerry's Seafood House</v>
          </cell>
        </row>
        <row r="1226">
          <cell r="A1226" t="str">
            <v>3753</v>
          </cell>
          <cell r="B1226" t="str">
            <v>Wholesome Foods, Inc.</v>
          </cell>
        </row>
        <row r="1227">
          <cell r="A1227" t="str">
            <v>3754</v>
          </cell>
          <cell r="B1227" t="str">
            <v>MSC Gas Station II</v>
          </cell>
        </row>
        <row r="1228">
          <cell r="A1228" t="str">
            <v>3755</v>
          </cell>
          <cell r="B1228" t="str">
            <v>Max's Restaurant Chicken'S R Us, Inc.</v>
          </cell>
        </row>
        <row r="1229">
          <cell r="A1229" t="str">
            <v>3756</v>
          </cell>
          <cell r="B1229" t="str">
            <v>Bert's Hardware &amp; General Merchandise</v>
          </cell>
        </row>
        <row r="1230">
          <cell r="A1230" t="str">
            <v>3757</v>
          </cell>
          <cell r="B1230" t="str">
            <v>Gartner Ireland Limited</v>
          </cell>
        </row>
        <row r="1231">
          <cell r="A1231" t="str">
            <v>3758</v>
          </cell>
          <cell r="B1231" t="str">
            <v>ACL Auto Supply and Gen. Merchandise</v>
          </cell>
        </row>
        <row r="1232">
          <cell r="A1232" t="str">
            <v>3759</v>
          </cell>
          <cell r="B1232" t="str">
            <v>San Francisco Cafe Concepts, Inc.</v>
          </cell>
        </row>
        <row r="1233">
          <cell r="A1233" t="str">
            <v>3760</v>
          </cell>
          <cell r="B1233" t="str">
            <v>Optimus Shell Service Station</v>
          </cell>
        </row>
        <row r="1234">
          <cell r="A1234" t="str">
            <v>3761</v>
          </cell>
          <cell r="B1234" t="str">
            <v>SmartPark Systems Solutions, Inc.</v>
          </cell>
        </row>
        <row r="1235">
          <cell r="A1235" t="str">
            <v>3762</v>
          </cell>
          <cell r="B1235" t="str">
            <v>Mini Stop</v>
          </cell>
        </row>
        <row r="1236">
          <cell r="A1236" t="str">
            <v>3763</v>
          </cell>
          <cell r="B1236" t="str">
            <v>Frankfoods Inc.</v>
          </cell>
        </row>
        <row r="1237">
          <cell r="A1237" t="str">
            <v>3764</v>
          </cell>
          <cell r="B1237" t="str">
            <v>The Philippine Institute of Japanese Language and Culture Foundation, Inc.</v>
          </cell>
        </row>
        <row r="1238">
          <cell r="A1238" t="str">
            <v>3765</v>
          </cell>
          <cell r="B1238" t="str">
            <v>Angelina Apostol-Punzalan Medical Clinic, Inc.</v>
          </cell>
        </row>
        <row r="1239">
          <cell r="A1239" t="str">
            <v>3766</v>
          </cell>
          <cell r="B1239" t="str">
            <v>Bulgogi Garden</v>
          </cell>
        </row>
        <row r="1240">
          <cell r="A1240" t="str">
            <v>3767</v>
          </cell>
          <cell r="B1240" t="str">
            <v>J.Co</v>
          </cell>
        </row>
        <row r="1241">
          <cell r="A1241" t="str">
            <v>3768</v>
          </cell>
          <cell r="B1241" t="str">
            <v>Bureau of Fire Protection</v>
          </cell>
        </row>
        <row r="1242">
          <cell r="A1242" t="str">
            <v>3769</v>
          </cell>
          <cell r="B1242" t="str">
            <v>First Metro Gas Inc.</v>
          </cell>
        </row>
        <row r="1243">
          <cell r="A1243" t="str">
            <v>3770</v>
          </cell>
          <cell r="B1243" t="str">
            <v>BF Resort Petron Service Station</v>
          </cell>
        </row>
        <row r="1244">
          <cell r="A1244" t="str">
            <v>3771</v>
          </cell>
          <cell r="B1244" t="str">
            <v>Kalang Maju Philippine Corporation</v>
          </cell>
        </row>
        <row r="1245">
          <cell r="A1245" t="str">
            <v>3772</v>
          </cell>
          <cell r="B1245" t="str">
            <v>Shell Gate Service Station-EDSA</v>
          </cell>
        </row>
        <row r="1246">
          <cell r="A1246" t="str">
            <v>3773</v>
          </cell>
          <cell r="B1246" t="str">
            <v>Giant Petroleum Concepts Phils. Inc.</v>
          </cell>
        </row>
        <row r="1247">
          <cell r="A1247" t="str">
            <v>3774</v>
          </cell>
          <cell r="B1247" t="str">
            <v>S.F. Asuncion Enterprises</v>
          </cell>
        </row>
        <row r="1248">
          <cell r="A1248" t="str">
            <v>3775</v>
          </cell>
          <cell r="B1248" t="str">
            <v>R.G.M. Auto Supply and Gen. Merchandise</v>
          </cell>
        </row>
        <row r="1249">
          <cell r="A1249" t="str">
            <v>3776</v>
          </cell>
          <cell r="B1249" t="str">
            <v>Cavitex Infrastructure Corp.</v>
          </cell>
        </row>
        <row r="1250">
          <cell r="A1250" t="str">
            <v>3777</v>
          </cell>
          <cell r="B1250" t="str">
            <v>JPS Mactal Enterprises</v>
          </cell>
        </row>
        <row r="1251">
          <cell r="A1251" t="str">
            <v>3778</v>
          </cell>
          <cell r="B1251" t="str">
            <v>Department of Labor and Employment</v>
          </cell>
        </row>
        <row r="1252">
          <cell r="A1252" t="str">
            <v>3779</v>
          </cell>
          <cell r="B1252" t="str">
            <v>Lowpro Tire Trading</v>
          </cell>
        </row>
        <row r="1253">
          <cell r="A1253" t="str">
            <v>3780</v>
          </cell>
          <cell r="B1253" t="str">
            <v>Philcopy Corporation</v>
          </cell>
        </row>
        <row r="1254">
          <cell r="A1254" t="str">
            <v>3781</v>
          </cell>
          <cell r="B1254" t="str">
            <v>Armony Enterprises</v>
          </cell>
        </row>
        <row r="1255">
          <cell r="A1255" t="str">
            <v>3782</v>
          </cell>
          <cell r="B1255" t="str">
            <v>LCH Philippines, Inc.</v>
          </cell>
        </row>
        <row r="1256">
          <cell r="A1256" t="str">
            <v>3783</v>
          </cell>
          <cell r="B1256" t="str">
            <v>South Garage Autoworks</v>
          </cell>
        </row>
        <row r="1257">
          <cell r="A1257" t="str">
            <v>3784</v>
          </cell>
          <cell r="B1257" t="str">
            <v>Infinity Shell Gas Station</v>
          </cell>
        </row>
        <row r="1258">
          <cell r="A1258" t="str">
            <v>3785</v>
          </cell>
          <cell r="B1258" t="str">
            <v>Baguio Best Shell Station</v>
          </cell>
        </row>
        <row r="1259">
          <cell r="A1259" t="str">
            <v>3786</v>
          </cell>
          <cell r="B1259" t="str">
            <v>Mayad Life Oil Corporation</v>
          </cell>
        </row>
        <row r="1260">
          <cell r="A1260" t="str">
            <v>3787</v>
          </cell>
          <cell r="B1260" t="str">
            <v>Blue Cross Insurance, Inc.</v>
          </cell>
        </row>
        <row r="1261">
          <cell r="A1261" t="str">
            <v>3788</v>
          </cell>
          <cell r="B1261" t="str">
            <v>Atty. Archibald R. Rellosa</v>
          </cell>
        </row>
        <row r="1262">
          <cell r="A1262" t="str">
            <v>3789</v>
          </cell>
          <cell r="B1262" t="str">
            <v>Lluz Law Office</v>
          </cell>
        </row>
        <row r="1263">
          <cell r="A1263" t="str">
            <v>3790</v>
          </cell>
          <cell r="B1263" t="str">
            <v>Noda Sho Japanese Restaurant</v>
          </cell>
        </row>
        <row r="1264">
          <cell r="A1264" t="str">
            <v>3791</v>
          </cell>
          <cell r="B1264" t="str">
            <v>Hotwheels Trading</v>
          </cell>
        </row>
        <row r="1265">
          <cell r="A1265" t="str">
            <v>3792</v>
          </cell>
          <cell r="B1265" t="str">
            <v>North Star International Travel, Inc.</v>
          </cell>
        </row>
        <row r="1266">
          <cell r="A1266" t="str">
            <v>3793</v>
          </cell>
          <cell r="B1266" t="str">
            <v>Highpoint Buendia Shell Station</v>
          </cell>
        </row>
        <row r="1267">
          <cell r="A1267" t="str">
            <v>3794</v>
          </cell>
          <cell r="B1267" t="str">
            <v>Chic-Boy</v>
          </cell>
        </row>
        <row r="1268">
          <cell r="A1268" t="str">
            <v>3795</v>
          </cell>
          <cell r="B1268" t="str">
            <v>Ramon P. Torres Petron Service Station</v>
          </cell>
        </row>
        <row r="1269">
          <cell r="A1269" t="str">
            <v>3796</v>
          </cell>
          <cell r="B1269" t="str">
            <v>Azil Printing Services</v>
          </cell>
        </row>
        <row r="1270">
          <cell r="A1270" t="str">
            <v>3797</v>
          </cell>
          <cell r="B1270" t="str">
            <v>Newton Medical &amp; Diagnostic Services, Inc.</v>
          </cell>
        </row>
        <row r="1271">
          <cell r="A1271" t="str">
            <v>3798</v>
          </cell>
          <cell r="B1271" t="str">
            <v>Top-Grade Petro Products Corp.</v>
          </cell>
        </row>
        <row r="1272">
          <cell r="A1272" t="str">
            <v>3799</v>
          </cell>
          <cell r="B1272" t="str">
            <v>Jobstreet.com Philippines, Inc.</v>
          </cell>
        </row>
        <row r="1273">
          <cell r="A1273" t="str">
            <v>3800</v>
          </cell>
          <cell r="B1273" t="str">
            <v>Mactan Cebu International Airport Authority</v>
          </cell>
        </row>
        <row r="1274">
          <cell r="A1274" t="str">
            <v>3801</v>
          </cell>
          <cell r="B1274" t="str">
            <v>Toyota Quezon Avenue, Inc.</v>
          </cell>
        </row>
        <row r="1275">
          <cell r="A1275" t="str">
            <v>3802</v>
          </cell>
          <cell r="B1275" t="str">
            <v>Bacolod Chicken House</v>
          </cell>
        </row>
        <row r="1276">
          <cell r="A1276" t="str">
            <v>3803</v>
          </cell>
          <cell r="B1276" t="str">
            <v>Great Aduana Food Exchange, Inc.</v>
          </cell>
        </row>
        <row r="1277">
          <cell r="A1277" t="str">
            <v>3804</v>
          </cell>
          <cell r="B1277" t="str">
            <v>Gladwin General Merchandise</v>
          </cell>
        </row>
        <row r="1278">
          <cell r="A1278" t="str">
            <v>3805</v>
          </cell>
          <cell r="B1278" t="str">
            <v>Avent Holdings Corp.</v>
          </cell>
        </row>
        <row r="1279">
          <cell r="A1279" t="str">
            <v>3806</v>
          </cell>
          <cell r="B1279" t="str">
            <v>Chowking Petron NLT Branch</v>
          </cell>
        </row>
        <row r="1280">
          <cell r="A1280" t="str">
            <v>3807</v>
          </cell>
          <cell r="B1280" t="str">
            <v>KN Prime Food Corp.</v>
          </cell>
        </row>
        <row r="1281">
          <cell r="A1281" t="str">
            <v>3808</v>
          </cell>
          <cell r="B1281" t="str">
            <v>Renato Bustinera Electrical Center</v>
          </cell>
        </row>
        <row r="1282">
          <cell r="A1282" t="str">
            <v>3809</v>
          </cell>
          <cell r="B1282" t="str">
            <v>Mancar Battery Center</v>
          </cell>
        </row>
        <row r="1283">
          <cell r="A1283" t="str">
            <v>3810</v>
          </cell>
          <cell r="B1283" t="str">
            <v>Embassy of the People's Republic of Bangladesh</v>
          </cell>
        </row>
        <row r="1284">
          <cell r="A1284" t="str">
            <v>3811</v>
          </cell>
          <cell r="B1284" t="str">
            <v>Lamuan Shell Gas Station, Inc.</v>
          </cell>
        </row>
        <row r="1285">
          <cell r="A1285" t="str">
            <v>3812</v>
          </cell>
          <cell r="B1285" t="str">
            <v>Beyond Concepts, Inc.</v>
          </cell>
        </row>
        <row r="1286">
          <cell r="A1286" t="str">
            <v>3813</v>
          </cell>
          <cell r="B1286" t="str">
            <v>Tian-Tian Hot Pot &amp; Restaurant Co.</v>
          </cell>
        </row>
        <row r="1287">
          <cell r="A1287" t="str">
            <v>3814</v>
          </cell>
          <cell r="B1287" t="str">
            <v>Contis Bakeshop &amp; Restaurant</v>
          </cell>
        </row>
        <row r="1288">
          <cell r="A1288" t="str">
            <v>3815</v>
          </cell>
          <cell r="B1288" t="str">
            <v>BG Gas Service Station</v>
          </cell>
        </row>
        <row r="1289">
          <cell r="A1289" t="str">
            <v>3816</v>
          </cell>
          <cell r="B1289" t="str">
            <v>Petron Antricks Enterprises</v>
          </cell>
        </row>
        <row r="1290">
          <cell r="A1290" t="str">
            <v>3817</v>
          </cell>
          <cell r="B1290" t="str">
            <v>United Coconut Planters Life Assurance Corporation</v>
          </cell>
        </row>
        <row r="1291">
          <cell r="A1291" t="str">
            <v>3818</v>
          </cell>
          <cell r="B1291" t="str">
            <v>JNJ Travel Services</v>
          </cell>
        </row>
        <row r="1292">
          <cell r="A1292" t="str">
            <v>3819</v>
          </cell>
          <cell r="B1292" t="str">
            <v>Fast Wheel Gas Station</v>
          </cell>
        </row>
        <row r="1293">
          <cell r="A1293" t="str">
            <v>3820</v>
          </cell>
          <cell r="B1293" t="str">
            <v>Masan Garden Restaurant Co.</v>
          </cell>
        </row>
        <row r="1294">
          <cell r="A1294" t="str">
            <v>3821</v>
          </cell>
          <cell r="B1294" t="str">
            <v>Flowers by Sylvia</v>
          </cell>
        </row>
        <row r="1295">
          <cell r="A1295" t="str">
            <v>3822</v>
          </cell>
          <cell r="B1295" t="str">
            <v>Emerald Garden, Inc.</v>
          </cell>
        </row>
        <row r="1296">
          <cell r="A1296" t="str">
            <v>3823</v>
          </cell>
          <cell r="B1296" t="str">
            <v>Standard Computer Center</v>
          </cell>
        </row>
        <row r="1297">
          <cell r="A1297" t="str">
            <v>3824</v>
          </cell>
          <cell r="B1297" t="str">
            <v>Sloane &amp; Graf Computer Center Co. Ltd.</v>
          </cell>
        </row>
        <row r="1298">
          <cell r="A1298" t="str">
            <v>3825</v>
          </cell>
          <cell r="B1298" t="str">
            <v>PCWorx IT Solutions Incorporated</v>
          </cell>
        </row>
        <row r="1299">
          <cell r="A1299" t="str">
            <v>3826</v>
          </cell>
          <cell r="B1299" t="str">
            <v>Micro Quadkeys Corporation</v>
          </cell>
        </row>
        <row r="1300">
          <cell r="A1300" t="str">
            <v>3827</v>
          </cell>
          <cell r="B1300" t="str">
            <v>Anvaya Cove Beach &amp; Nature Club, Inc.</v>
          </cell>
        </row>
        <row r="1301">
          <cell r="A1301" t="str">
            <v>3828</v>
          </cell>
          <cell r="B1301" t="str">
            <v>Goldilocks Bakeshop, Inc.</v>
          </cell>
        </row>
        <row r="1302">
          <cell r="A1302" t="str">
            <v>3829</v>
          </cell>
          <cell r="B1302" t="str">
            <v>Kamahalan Publishing Corporation</v>
          </cell>
        </row>
        <row r="1303">
          <cell r="A1303" t="str">
            <v>3830</v>
          </cell>
          <cell r="B1303" t="str">
            <v>Columbia Technologies, Inc.</v>
          </cell>
        </row>
        <row r="1304">
          <cell r="A1304" t="str">
            <v>3831</v>
          </cell>
          <cell r="B1304" t="str">
            <v>JMGlobal Gasoline Station</v>
          </cell>
        </row>
        <row r="1305">
          <cell r="A1305" t="str">
            <v>3832</v>
          </cell>
          <cell r="B1305" t="str">
            <v>Good Job! Auto Aircon &amp; Refrigeration</v>
          </cell>
        </row>
        <row r="1306">
          <cell r="A1306" t="str">
            <v>3833</v>
          </cell>
          <cell r="B1306" t="str">
            <v>Sasa Shell Station</v>
          </cell>
        </row>
        <row r="1307">
          <cell r="A1307" t="str">
            <v>3834</v>
          </cell>
          <cell r="B1307" t="str">
            <v>Phoenix Gasolinera</v>
          </cell>
        </row>
        <row r="1308">
          <cell r="A1308" t="str">
            <v>3835</v>
          </cell>
          <cell r="B1308" t="str">
            <v>Linmax Shell Station</v>
          </cell>
        </row>
        <row r="1309">
          <cell r="A1309" t="str">
            <v>3836</v>
          </cell>
          <cell r="B1309" t="str">
            <v>Daremco Petron Bulilit Station</v>
          </cell>
        </row>
        <row r="1310">
          <cell r="A1310" t="str">
            <v>3837</v>
          </cell>
          <cell r="B1310" t="str">
            <v>Halifax Davao Hotel, Inc.</v>
          </cell>
        </row>
        <row r="1311">
          <cell r="A1311" t="str">
            <v>3838</v>
          </cell>
          <cell r="B1311" t="str">
            <v>Guia Luz Signs and Graphics, Inc.</v>
          </cell>
        </row>
        <row r="1312">
          <cell r="A1312" t="str">
            <v>3839</v>
          </cell>
          <cell r="B1312" t="str">
            <v>Anrah I.T. Products, Inc.</v>
          </cell>
        </row>
        <row r="1313">
          <cell r="A1313" t="str">
            <v>3840</v>
          </cell>
          <cell r="B1313" t="str">
            <v>Group 5 Audiovisual Systems Corp.</v>
          </cell>
        </row>
        <row r="1314">
          <cell r="A1314" t="str">
            <v>3841</v>
          </cell>
          <cell r="B1314" t="str">
            <v>Plaridel Surety and Insurance Company</v>
          </cell>
        </row>
        <row r="1315">
          <cell r="A1315" t="str">
            <v>3842</v>
          </cell>
          <cell r="B1315" t="str">
            <v>Cuccine Almario, Inc.</v>
          </cell>
        </row>
        <row r="1316">
          <cell r="A1316" t="str">
            <v>3843</v>
          </cell>
          <cell r="B1316" t="str">
            <v>Hanover Hardware</v>
          </cell>
        </row>
        <row r="1317">
          <cell r="A1317" t="str">
            <v>3844</v>
          </cell>
          <cell r="B1317" t="str">
            <v>"J" Brothers Motors Services &amp; Vtech Enterprises</v>
          </cell>
        </row>
        <row r="1318">
          <cell r="A1318" t="str">
            <v>3845</v>
          </cell>
          <cell r="B1318" t="str">
            <v>Erjan Car Rental Services</v>
          </cell>
        </row>
        <row r="1319">
          <cell r="A1319" t="str">
            <v>3846</v>
          </cell>
          <cell r="B1319" t="str">
            <v>Jobs DB Philippines, Inc.</v>
          </cell>
        </row>
        <row r="1320">
          <cell r="A1320" t="str">
            <v>3847</v>
          </cell>
          <cell r="B1320" t="str">
            <v>Imelda M. Hidalgo</v>
          </cell>
        </row>
        <row r="1321">
          <cell r="A1321" t="str">
            <v>3848</v>
          </cell>
          <cell r="B1321" t="str">
            <v>PCS Philippines, Inc.</v>
          </cell>
        </row>
        <row r="1322">
          <cell r="A1322" t="str">
            <v>3849</v>
          </cell>
          <cell r="B1322" t="str">
            <v>Donica Corporation</v>
          </cell>
        </row>
        <row r="1323">
          <cell r="A1323" t="str">
            <v>3850</v>
          </cell>
          <cell r="B1323" t="str">
            <v>Consulting Engineers Council of the Philippines, Inc. (CECOPHIL)</v>
          </cell>
        </row>
        <row r="1324">
          <cell r="A1324" t="str">
            <v>3851</v>
          </cell>
          <cell r="B1324" t="str">
            <v>AstroVision, Inc.</v>
          </cell>
        </row>
        <row r="1325">
          <cell r="A1325" t="str">
            <v>3852</v>
          </cell>
          <cell r="B1325" t="str">
            <v>Anskor Trading Corp.</v>
          </cell>
        </row>
        <row r="1326">
          <cell r="A1326" t="str">
            <v>3853</v>
          </cell>
          <cell r="B1326" t="str">
            <v>Hourglass Trading</v>
          </cell>
        </row>
        <row r="1327">
          <cell r="A1327" t="str">
            <v>3854</v>
          </cell>
          <cell r="B1327" t="str">
            <v>CIM Technologies, Inc.</v>
          </cell>
        </row>
        <row r="1328">
          <cell r="A1328" t="str">
            <v>3855</v>
          </cell>
          <cell r="B1328" t="str">
            <v>Pilip Tours and Property Management Inc.</v>
          </cell>
        </row>
        <row r="1329">
          <cell r="A1329" t="str">
            <v>3856</v>
          </cell>
          <cell r="B1329" t="str">
            <v>SFC Gas World</v>
          </cell>
        </row>
        <row r="1330">
          <cell r="A1330" t="str">
            <v>3857</v>
          </cell>
          <cell r="B1330" t="str">
            <v>Automax Gasoline Station</v>
          </cell>
        </row>
        <row r="1331">
          <cell r="A1331" t="str">
            <v>3858</v>
          </cell>
          <cell r="B1331" t="str">
            <v>Philippine Postal Corporation</v>
          </cell>
        </row>
        <row r="1332">
          <cell r="A1332" t="str">
            <v>3859</v>
          </cell>
          <cell r="B1332" t="str">
            <v>Jamera Hotel</v>
          </cell>
        </row>
        <row r="1333">
          <cell r="A1333" t="str">
            <v>3860</v>
          </cell>
          <cell r="B1333" t="str">
            <v>Banana Leaf Curry House Ortigas Center, Inc.</v>
          </cell>
        </row>
        <row r="1334">
          <cell r="A1334" t="str">
            <v>3861</v>
          </cell>
          <cell r="B1334" t="str">
            <v>Modufit Interiors, Inc.</v>
          </cell>
        </row>
        <row r="1335">
          <cell r="A1335" t="str">
            <v>3862</v>
          </cell>
          <cell r="B1335" t="str">
            <v>FBT III Trading &amp; Telecoms</v>
          </cell>
        </row>
        <row r="1336">
          <cell r="A1336" t="str">
            <v>3863</v>
          </cell>
          <cell r="B1336" t="str">
            <v>C. Mactal General Merchandise</v>
          </cell>
        </row>
        <row r="1337">
          <cell r="A1337" t="str">
            <v>3864</v>
          </cell>
          <cell r="B1337" t="str">
            <v>Hendrik Arie Elscot</v>
          </cell>
        </row>
        <row r="1338">
          <cell r="A1338" t="str">
            <v>3865</v>
          </cell>
          <cell r="B1338" t="str">
            <v>The Doughnut People, Inc.</v>
          </cell>
        </row>
        <row r="1339">
          <cell r="A1339" t="str">
            <v>3866</v>
          </cell>
          <cell r="B1339" t="str">
            <v>Henry F. Baltazar</v>
          </cell>
        </row>
        <row r="1340">
          <cell r="A1340" t="str">
            <v>3867</v>
          </cell>
          <cell r="B1340" t="str">
            <v>Jeed Printing Press Services</v>
          </cell>
        </row>
        <row r="1341">
          <cell r="A1341" t="str">
            <v>3868</v>
          </cell>
          <cell r="B1341" t="str">
            <v>Microphase Corporation</v>
          </cell>
        </row>
        <row r="1342">
          <cell r="A1342" t="str">
            <v>3869</v>
          </cell>
          <cell r="B1342" t="str">
            <v>E-Global Structure Technologies Corp.</v>
          </cell>
        </row>
        <row r="1343">
          <cell r="A1343" t="str">
            <v>3870</v>
          </cell>
          <cell r="B1343" t="str">
            <v>Value Market Market Inc.</v>
          </cell>
        </row>
        <row r="1344">
          <cell r="A1344" t="str">
            <v>3871</v>
          </cell>
          <cell r="B1344" t="str">
            <v>SketchBooks, Inc.</v>
          </cell>
        </row>
        <row r="1345">
          <cell r="A1345" t="str">
            <v>3872</v>
          </cell>
          <cell r="B1345" t="str">
            <v>SM Mart, Inc.</v>
          </cell>
        </row>
        <row r="1346">
          <cell r="A1346" t="str">
            <v>3873</v>
          </cell>
          <cell r="B1346" t="str">
            <v>Star Appliance Center, Inc.</v>
          </cell>
        </row>
        <row r="1347">
          <cell r="A1347" t="str">
            <v>3874</v>
          </cell>
          <cell r="B1347" t="str">
            <v>Supervalue Inc.</v>
          </cell>
        </row>
        <row r="1348">
          <cell r="A1348" t="str">
            <v>3875</v>
          </cell>
          <cell r="B1348" t="str">
            <v>Verben Enterprises</v>
          </cell>
        </row>
        <row r="1349">
          <cell r="A1349" t="str">
            <v>3876</v>
          </cell>
          <cell r="B1349" t="str">
            <v>Buddy's</v>
          </cell>
        </row>
        <row r="1350">
          <cell r="A1350" t="str">
            <v>3877</v>
          </cell>
          <cell r="B1350" t="str">
            <v>Amber Restaurant, Catering &amp; Food Delivery Corp.</v>
          </cell>
        </row>
        <row r="1351">
          <cell r="A1351" t="str">
            <v>3878</v>
          </cell>
          <cell r="B1351" t="str">
            <v>Federal Land Orix Corporation</v>
          </cell>
        </row>
        <row r="1352">
          <cell r="A1352" t="str">
            <v>3879</v>
          </cell>
          <cell r="B1352" t="str">
            <v>Advanced Geotechnical Engineering Services</v>
          </cell>
        </row>
        <row r="1353">
          <cell r="A1353" t="str">
            <v>3880</v>
          </cell>
          <cell r="B1353" t="str">
            <v>Danny B. Ramboanga</v>
          </cell>
        </row>
        <row r="1354">
          <cell r="A1354" t="str">
            <v>3881</v>
          </cell>
          <cell r="B1354" t="str">
            <v>Amilcar Fortuna</v>
          </cell>
        </row>
        <row r="1355">
          <cell r="A1355" t="str">
            <v>3882</v>
          </cell>
          <cell r="B1355" t="str">
            <v>Rasa Surveying and Realty</v>
          </cell>
        </row>
        <row r="1356">
          <cell r="A1356" t="str">
            <v>3883</v>
          </cell>
          <cell r="B1356" t="str">
            <v>Aquabest</v>
          </cell>
        </row>
        <row r="1357">
          <cell r="A1357" t="str">
            <v>3884</v>
          </cell>
          <cell r="B1357" t="str">
            <v>Star 360 Philippines Inc.</v>
          </cell>
        </row>
        <row r="1358">
          <cell r="A1358" t="str">
            <v>3885</v>
          </cell>
          <cell r="B1358" t="str">
            <v>Happy Cream Puff, Inc.</v>
          </cell>
        </row>
        <row r="1359">
          <cell r="A1359" t="str">
            <v>3886</v>
          </cell>
          <cell r="B1359" t="str">
            <v>SpiceWorx Consultancy, Inc.</v>
          </cell>
        </row>
        <row r="1360">
          <cell r="A1360" t="str">
            <v>3887</v>
          </cell>
          <cell r="B1360" t="str">
            <v>Par 5 Snack Bar</v>
          </cell>
        </row>
        <row r="1361">
          <cell r="A1361" t="str">
            <v>3888</v>
          </cell>
          <cell r="B1361" t="str">
            <v>Multi-Infra Konsult, Inc.</v>
          </cell>
        </row>
        <row r="1362">
          <cell r="A1362" t="str">
            <v>3889</v>
          </cell>
          <cell r="B1362" t="str">
            <v>Luckyresto Food Corporation</v>
          </cell>
        </row>
        <row r="1363">
          <cell r="A1363" t="str">
            <v>3890</v>
          </cell>
          <cell r="B1363" t="str">
            <v>Morelia Tours and Travel, Inc.</v>
          </cell>
        </row>
        <row r="1364">
          <cell r="A1364" t="str">
            <v>3891</v>
          </cell>
          <cell r="B1364" t="str">
            <v>Rope Systems Corporation</v>
          </cell>
        </row>
        <row r="1365">
          <cell r="A1365" t="str">
            <v>3892</v>
          </cell>
          <cell r="B1365" t="str">
            <v>Waltermart Supermarket Inc.</v>
          </cell>
        </row>
        <row r="1366">
          <cell r="A1366" t="str">
            <v>3893</v>
          </cell>
          <cell r="B1366" t="str">
            <v>SM Aca, Inc.</v>
          </cell>
        </row>
        <row r="1367">
          <cell r="A1367" t="str">
            <v>3894</v>
          </cell>
          <cell r="B1367" t="str">
            <v>E Copy Corporation</v>
          </cell>
        </row>
        <row r="1368">
          <cell r="A1368" t="str">
            <v>3895</v>
          </cell>
          <cell r="B1368" t="str">
            <v>Bacchus International Inc.</v>
          </cell>
        </row>
        <row r="1369">
          <cell r="A1369" t="str">
            <v>3896</v>
          </cell>
          <cell r="B1369" t="str">
            <v>PCMine Inc.</v>
          </cell>
        </row>
        <row r="1370">
          <cell r="A1370" t="str">
            <v>3897</v>
          </cell>
          <cell r="B1370" t="str">
            <v>Ecosyscorp., Inc.</v>
          </cell>
        </row>
        <row r="1371">
          <cell r="A1371" t="str">
            <v>3898</v>
          </cell>
          <cell r="B1371" t="str">
            <v>Woodfields Consultants, Inc.</v>
          </cell>
        </row>
        <row r="1372">
          <cell r="A1372" t="str">
            <v>3899</v>
          </cell>
          <cell r="B1372" t="str">
            <v>Capitol Auto Supply</v>
          </cell>
        </row>
        <row r="1373">
          <cell r="A1373" t="str">
            <v>3900</v>
          </cell>
          <cell r="B1373" t="str">
            <v>Super Shopping Market Inc.</v>
          </cell>
        </row>
        <row r="1374">
          <cell r="A1374" t="str">
            <v>3901</v>
          </cell>
          <cell r="B1374" t="str">
            <v>Maxs Makati Inc</v>
          </cell>
        </row>
        <row r="1375">
          <cell r="A1375" t="str">
            <v>3902</v>
          </cell>
          <cell r="B1375" t="str">
            <v>International Family Food Services Inc.</v>
          </cell>
        </row>
        <row r="1376">
          <cell r="A1376" t="str">
            <v>3903</v>
          </cell>
          <cell r="B1376" t="str">
            <v>Crown Worldwide Movers, Inc.</v>
          </cell>
        </row>
        <row r="1377">
          <cell r="A1377" t="str">
            <v>3904</v>
          </cell>
          <cell r="B1377" t="str">
            <v>Hi-Top Supermart, Inc.</v>
          </cell>
        </row>
        <row r="1378">
          <cell r="A1378" t="str">
            <v>3905</v>
          </cell>
          <cell r="B1378" t="str">
            <v>Alfcor Transport Services</v>
          </cell>
        </row>
        <row r="1379">
          <cell r="A1379" t="str">
            <v>3906</v>
          </cell>
          <cell r="B1379" t="str">
            <v>Linex Corporation</v>
          </cell>
        </row>
        <row r="1380">
          <cell r="A1380" t="str">
            <v>3907</v>
          </cell>
          <cell r="B1380" t="str">
            <v>Jimeno Cope David &amp; Associates Law Offices</v>
          </cell>
        </row>
        <row r="1381">
          <cell r="A1381" t="str">
            <v>3908</v>
          </cell>
          <cell r="B1381" t="str">
            <v>Bistro Legaspi &amp; Coffee Inc.</v>
          </cell>
        </row>
        <row r="1382">
          <cell r="A1382" t="str">
            <v>3909</v>
          </cell>
          <cell r="B1382" t="str">
            <v>Gain Appliance Service Center</v>
          </cell>
        </row>
        <row r="1383">
          <cell r="A1383" t="str">
            <v>3910</v>
          </cell>
          <cell r="B1383" t="str">
            <v>Caevar Transport Service</v>
          </cell>
        </row>
        <row r="1384">
          <cell r="A1384" t="str">
            <v>3911</v>
          </cell>
          <cell r="B1384" t="str">
            <v>Bayan Telecommunications, Inc.</v>
          </cell>
        </row>
        <row r="1385">
          <cell r="A1385" t="str">
            <v>3912</v>
          </cell>
          <cell r="B1385" t="str">
            <v>LFN Engineering Services</v>
          </cell>
        </row>
        <row r="1386">
          <cell r="A1386" t="str">
            <v>3913</v>
          </cell>
          <cell r="B1386" t="str">
            <v>Smart Communications, Inc.</v>
          </cell>
        </row>
        <row r="1387">
          <cell r="A1387" t="str">
            <v>3914</v>
          </cell>
          <cell r="B1387" t="str">
            <v>Patio de Conchita</v>
          </cell>
        </row>
        <row r="1388">
          <cell r="A1388" t="str">
            <v>3915</v>
          </cell>
          <cell r="B1388" t="str">
            <v>Contemporain Foods Inc.</v>
          </cell>
        </row>
        <row r="1389">
          <cell r="A1389" t="str">
            <v>3916</v>
          </cell>
          <cell r="B1389" t="str">
            <v>Gy Alliance Concepts, Inc.</v>
          </cell>
        </row>
        <row r="1390">
          <cell r="A1390" t="str">
            <v>3917</v>
          </cell>
          <cell r="B1390" t="str">
            <v>Travellers International Hotel Group, Inc.</v>
          </cell>
        </row>
        <row r="1391">
          <cell r="A1391" t="str">
            <v>3918</v>
          </cell>
          <cell r="B1391" t="str">
            <v>Rustica Fastfood</v>
          </cell>
        </row>
        <row r="1392">
          <cell r="A1392" t="str">
            <v>3919</v>
          </cell>
          <cell r="B1392" t="str">
            <v>3K Supermart</v>
          </cell>
        </row>
        <row r="1393">
          <cell r="A1393" t="str">
            <v>3920</v>
          </cell>
          <cell r="B1393" t="str">
            <v>Purple Avatar Inc.</v>
          </cell>
        </row>
        <row r="1394">
          <cell r="A1394" t="str">
            <v>3921</v>
          </cell>
          <cell r="B1394" t="str">
            <v>Margann Inc.</v>
          </cell>
        </row>
        <row r="1395">
          <cell r="A1395" t="str">
            <v>3922</v>
          </cell>
          <cell r="B1395" t="str">
            <v>Sharmila Food Center Inc.</v>
          </cell>
        </row>
        <row r="1396">
          <cell r="A1396" t="str">
            <v>3923</v>
          </cell>
          <cell r="B1396" t="str">
            <v>Ricoh (Philippines), Inc.</v>
          </cell>
        </row>
        <row r="1397">
          <cell r="A1397" t="str">
            <v>3924</v>
          </cell>
          <cell r="B1397" t="str">
            <v>Concep, Inc.</v>
          </cell>
        </row>
        <row r="1398">
          <cell r="A1398" t="str">
            <v>3925</v>
          </cell>
          <cell r="B1398" t="str">
            <v>Discovery Tour, Inc.</v>
          </cell>
        </row>
        <row r="1399">
          <cell r="A1399" t="str">
            <v>3926</v>
          </cell>
          <cell r="B1399" t="str">
            <v>SRDP Consulting Inc.</v>
          </cell>
        </row>
        <row r="1400">
          <cell r="A1400" t="str">
            <v>3927</v>
          </cell>
          <cell r="B1400" t="str">
            <v>Made in Heaven Enterprise</v>
          </cell>
        </row>
        <row r="1401">
          <cell r="A1401" t="str">
            <v>3928</v>
          </cell>
          <cell r="B1401" t="str">
            <v>Volenday Inc.</v>
          </cell>
        </row>
        <row r="1402">
          <cell r="A1402" t="str">
            <v>3929</v>
          </cell>
          <cell r="B1402" t="str">
            <v>Red Ribbon Bakeshop, Inc.</v>
          </cell>
        </row>
        <row r="1403">
          <cell r="A1403" t="str">
            <v>3930</v>
          </cell>
          <cell r="B1403" t="str">
            <v>Roberto Sebastian S. Reodica, III</v>
          </cell>
        </row>
        <row r="1404">
          <cell r="A1404" t="str">
            <v>3931</v>
          </cell>
          <cell r="B1404" t="str">
            <v>HMD-C Consultants Co., Ltd.</v>
          </cell>
        </row>
        <row r="1405">
          <cell r="A1405" t="str">
            <v>3932</v>
          </cell>
          <cell r="B1405" t="str">
            <v>Jac Green Gang Corp. (Greenwich)</v>
          </cell>
        </row>
        <row r="1406">
          <cell r="A1406" t="str">
            <v>3933</v>
          </cell>
          <cell r="B1406" t="str">
            <v>The Shell Forbes Park Service Station</v>
          </cell>
        </row>
        <row r="1407">
          <cell r="A1407" t="str">
            <v>3934</v>
          </cell>
          <cell r="B1407" t="str">
            <v>Versacom International Corp.</v>
          </cell>
        </row>
        <row r="1408">
          <cell r="A1408" t="str">
            <v>3935</v>
          </cell>
          <cell r="B1408" t="str">
            <v>Embassy of the People's Republic of Union of Myanmar</v>
          </cell>
        </row>
        <row r="1409">
          <cell r="A1409" t="str">
            <v>3936</v>
          </cell>
          <cell r="B1409" t="str">
            <v>Civil Aviation Authority of the Philippines</v>
          </cell>
        </row>
        <row r="1410">
          <cell r="A1410" t="str">
            <v>3937</v>
          </cell>
          <cell r="B1410" t="str">
            <v>Computer Troubleshooters Philippines Inc. </v>
          </cell>
        </row>
        <row r="1411">
          <cell r="A1411" t="str">
            <v>3938</v>
          </cell>
          <cell r="B1411" t="str">
            <v>Jamenzo Restaurant and Food Services Inc.</v>
          </cell>
        </row>
        <row r="1412">
          <cell r="A1412" t="str">
            <v>3939</v>
          </cell>
          <cell r="B1412" t="str">
            <v>Ashitaba, Inc. </v>
          </cell>
        </row>
        <row r="1413">
          <cell r="A1413" t="str">
            <v>3940</v>
          </cell>
          <cell r="B1413" t="str">
            <v>Easyshare Printing Services</v>
          </cell>
        </row>
        <row r="1414">
          <cell r="A1414" t="str">
            <v>3941</v>
          </cell>
          <cell r="B1414" t="str">
            <v>Nodaya Restaurant</v>
          </cell>
        </row>
        <row r="1415">
          <cell r="A1415" t="str">
            <v>3942</v>
          </cell>
          <cell r="B1415" t="str">
            <v>Tierodman Auto Center Inc.</v>
          </cell>
        </row>
        <row r="1416">
          <cell r="A1416" t="str">
            <v>3943</v>
          </cell>
          <cell r="B1416" t="str">
            <v>Hantex Land Corporation</v>
          </cell>
        </row>
        <row r="1417">
          <cell r="A1417" t="str">
            <v>3944</v>
          </cell>
          <cell r="B1417" t="str">
            <v>Loadstar Infinitum Trading Corp.</v>
          </cell>
        </row>
        <row r="1418">
          <cell r="A1418" t="str">
            <v>3945</v>
          </cell>
          <cell r="B1418" t="str">
            <v>Petron Ramon P. Torres Service Station</v>
          </cell>
        </row>
        <row r="1419">
          <cell r="A1419" t="str">
            <v>3946</v>
          </cell>
          <cell r="B1419" t="str">
            <v>Caltex Buendia - Malugay Service Station</v>
          </cell>
        </row>
        <row r="1420">
          <cell r="A1420" t="str">
            <v>3947</v>
          </cell>
          <cell r="B1420" t="str">
            <v>Shellgate Service Station</v>
          </cell>
        </row>
        <row r="1421">
          <cell r="A1421" t="str">
            <v>3948</v>
          </cell>
          <cell r="B1421" t="str">
            <v>Avensis Shell Station </v>
          </cell>
        </row>
        <row r="1422">
          <cell r="A1422" t="str">
            <v>3949</v>
          </cell>
          <cell r="B1422" t="str">
            <v>Design Crest</v>
          </cell>
        </row>
        <row r="1423">
          <cell r="A1423" t="str">
            <v>3950</v>
          </cell>
          <cell r="B1423" t="str">
            <v>Caltex Chino Roces</v>
          </cell>
        </row>
        <row r="1424">
          <cell r="A1424" t="str">
            <v>3951</v>
          </cell>
          <cell r="B1424" t="str">
            <v>Ink Bright Trading</v>
          </cell>
        </row>
        <row r="1425">
          <cell r="A1425" t="str">
            <v>3952</v>
          </cell>
          <cell r="B1425" t="str">
            <v>Rodsway Tourist Transport Services</v>
          </cell>
        </row>
        <row r="1426">
          <cell r="A1426" t="str">
            <v>3953</v>
          </cell>
          <cell r="B1426" t="str">
            <v>Jiga Mags and Tire Supply</v>
          </cell>
        </row>
        <row r="1427">
          <cell r="A1427" t="str">
            <v>3954</v>
          </cell>
          <cell r="B1427" t="str">
            <v>Jettsan Transport Service</v>
          </cell>
        </row>
        <row r="1428">
          <cell r="A1428" t="str">
            <v>3955</v>
          </cell>
          <cell r="B1428" t="str">
            <v>Regent Foods Corporation</v>
          </cell>
        </row>
        <row r="1429">
          <cell r="A1429" t="str">
            <v>3956</v>
          </cell>
          <cell r="B1429" t="str">
            <v>ECLAM EnterprisesMINI Stop</v>
          </cell>
        </row>
        <row r="1430">
          <cell r="A1430" t="str">
            <v>3957</v>
          </cell>
          <cell r="B1430" t="str">
            <v>Toyota Otis, Inc.</v>
          </cell>
        </row>
        <row r="1431">
          <cell r="A1431" t="str">
            <v>3958</v>
          </cell>
          <cell r="B1431" t="str">
            <v>Deelite  Purified Water Station </v>
          </cell>
        </row>
        <row r="1432">
          <cell r="A1432" t="str">
            <v>3959</v>
          </cell>
          <cell r="B1432" t="str">
            <v>The Grand Midori Makati City Condo Assn. Inc.</v>
          </cell>
        </row>
        <row r="1433">
          <cell r="A1433" t="str">
            <v>3960</v>
          </cell>
          <cell r="B1433" t="str">
            <v>International Family Food Services Inc.</v>
          </cell>
        </row>
        <row r="1434">
          <cell r="A1434" t="str">
            <v>3961</v>
          </cell>
          <cell r="B1434" t="str">
            <v>Jim John General Merchandise</v>
          </cell>
        </row>
        <row r="1435">
          <cell r="A1435" t="str">
            <v>3962</v>
          </cell>
          <cell r="B1435" t="str">
            <v>Robinson's Handyman, Inc.</v>
          </cell>
        </row>
        <row r="1436">
          <cell r="A1436" t="str">
            <v>3963</v>
          </cell>
          <cell r="B1436" t="str">
            <v>Pearl of the Orient  Tower Condominium  Association, Inc.</v>
          </cell>
        </row>
        <row r="1437">
          <cell r="A1437" t="str">
            <v>3964</v>
          </cell>
          <cell r="B1437" t="str">
            <v>Atlanta Stationery &amp; Paper Supply</v>
          </cell>
        </row>
        <row r="1438">
          <cell r="A1438" t="str">
            <v>3965</v>
          </cell>
          <cell r="B1438" t="str">
            <v>BTTC Centre</v>
          </cell>
        </row>
        <row r="1439">
          <cell r="A1439" t="str">
            <v>3966</v>
          </cell>
          <cell r="B1439" t="str">
            <v>Krizken Floral Design</v>
          </cell>
        </row>
        <row r="1440">
          <cell r="A1440" t="str">
            <v>3967</v>
          </cell>
          <cell r="B1440" t="str">
            <v>Joaquin's Car Care Service</v>
          </cell>
        </row>
        <row r="1441">
          <cell r="A1441" t="str">
            <v>3968</v>
          </cell>
          <cell r="B1441" t="str">
            <v>Ilustrado Restaurant</v>
          </cell>
        </row>
        <row r="1442">
          <cell r="A1442" t="str">
            <v>3969</v>
          </cell>
          <cell r="B1442" t="str">
            <v>Petron Gas Station</v>
          </cell>
        </row>
        <row r="1443">
          <cell r="A1443" t="str">
            <v>3970</v>
          </cell>
          <cell r="B1443" t="str">
            <v>Edgar's Car Door Repair Shop</v>
          </cell>
        </row>
        <row r="1444">
          <cell r="A1444" t="str">
            <v>3971</v>
          </cell>
          <cell r="B1444" t="str">
            <v>Hotel San Marco</v>
          </cell>
        </row>
        <row r="1445">
          <cell r="A1445" t="str">
            <v>3972</v>
          </cell>
          <cell r="B1445" t="str">
            <v>Mallberry Suite Business Hotel</v>
          </cell>
        </row>
        <row r="1446">
          <cell r="A1446" t="str">
            <v>3973</v>
          </cell>
          <cell r="B1446" t="str">
            <v>Prawn House Seafoods Restaurant</v>
          </cell>
        </row>
        <row r="1447">
          <cell r="A1447" t="str">
            <v>3974</v>
          </cell>
          <cell r="B1447" t="str">
            <v>Shell at the Fort Service Station</v>
          </cell>
        </row>
        <row r="1448">
          <cell r="A1448" t="str">
            <v>3975</v>
          </cell>
          <cell r="B1448" t="str">
            <v>LBC Express, Inc.</v>
          </cell>
        </row>
        <row r="1449">
          <cell r="A1449" t="str">
            <v>3976</v>
          </cell>
          <cell r="B1449" t="str">
            <v>LBC Express, Inc.</v>
          </cell>
        </row>
        <row r="1450">
          <cell r="A1450" t="str">
            <v>3977</v>
          </cell>
          <cell r="B1450" t="str">
            <v>Mackim Prints, Inc.</v>
          </cell>
        </row>
        <row r="1451">
          <cell r="A1451" t="str">
            <v>3978</v>
          </cell>
          <cell r="B1451" t="str">
            <v>Filipinas Modiste Supply</v>
          </cell>
        </row>
        <row r="1452">
          <cell r="A1452" t="str">
            <v>3979</v>
          </cell>
          <cell r="B1452" t="str">
            <v>Terry's Bistro</v>
          </cell>
        </row>
        <row r="1453">
          <cell r="A1453" t="str">
            <v>3980</v>
          </cell>
          <cell r="B1453" t="str">
            <v>Starbucks Coffee</v>
          </cell>
        </row>
        <row r="1454">
          <cell r="A1454" t="str">
            <v>3981</v>
          </cell>
          <cell r="B1454" t="str">
            <v>MGW Auto Supply &amp; Gen. Mdse</v>
          </cell>
        </row>
        <row r="1455">
          <cell r="A1455" t="str">
            <v>3982</v>
          </cell>
          <cell r="B1455" t="str">
            <v>Akitaya Japanese Restaurant</v>
          </cell>
        </row>
        <row r="1456">
          <cell r="A1456" t="str">
            <v>3983</v>
          </cell>
          <cell r="B1456" t="str">
            <v>Design Science Inc.</v>
          </cell>
        </row>
        <row r="1457">
          <cell r="A1457" t="str">
            <v>3984</v>
          </cell>
          <cell r="B1457" t="str">
            <v>Science &amp; Vision for Technology Inc</v>
          </cell>
        </row>
        <row r="1458">
          <cell r="A1458" t="str">
            <v>3985</v>
          </cell>
          <cell r="B1458" t="str">
            <v>ProAccess Business Services, Inc.</v>
          </cell>
        </row>
        <row r="1459">
          <cell r="A1459" t="str">
            <v>3986</v>
          </cell>
          <cell r="B1459" t="str">
            <v>Mertz Rent A Car</v>
          </cell>
        </row>
        <row r="1460">
          <cell r="A1460" t="str">
            <v>3987</v>
          </cell>
          <cell r="B1460" t="str">
            <v>Maximum Solutions Corporation</v>
          </cell>
        </row>
        <row r="1461">
          <cell r="A1461" t="str">
            <v>3988</v>
          </cell>
          <cell r="B1461" t="str">
            <v>Robinson's Supermarket Corporation</v>
          </cell>
        </row>
        <row r="1462">
          <cell r="A1462" t="str">
            <v>3989</v>
          </cell>
          <cell r="B1462" t="str">
            <v>The SM Store</v>
          </cell>
        </row>
        <row r="1463">
          <cell r="A1463" t="str">
            <v>3990</v>
          </cell>
          <cell r="B1463" t="str">
            <v>Matoi Restaurant Bar</v>
          </cell>
        </row>
        <row r="1464">
          <cell r="A1464" t="str">
            <v>3991</v>
          </cell>
          <cell r="B1464" t="str">
            <v>New World Makati City Hotel</v>
          </cell>
        </row>
        <row r="1465">
          <cell r="A1465" t="str">
            <v>3992</v>
          </cell>
          <cell r="B1465" t="str">
            <v>McKinley General Merchandise</v>
          </cell>
        </row>
        <row r="1466">
          <cell r="A1466" t="str">
            <v>3993</v>
          </cell>
          <cell r="B1466" t="str">
            <v>Microbase Incorporated</v>
          </cell>
        </row>
        <row r="1467">
          <cell r="A1467" t="str">
            <v>3994</v>
          </cell>
          <cell r="B1467" t="str">
            <v>CCA Podium, Inc</v>
          </cell>
        </row>
        <row r="1468">
          <cell r="A1468" t="str">
            <v>3995</v>
          </cell>
          <cell r="B1468" t="str">
            <v>Benvil Foods Phils, Inc</v>
          </cell>
        </row>
        <row r="1469">
          <cell r="A1469" t="str">
            <v>3996</v>
          </cell>
          <cell r="B1469" t="str">
            <v>Susukino Music Lounge &amp; Restaurant Inc</v>
          </cell>
        </row>
        <row r="1470">
          <cell r="A1470" t="str">
            <v>3997</v>
          </cell>
          <cell r="B1470" t="str">
            <v>Sialay Shell Truck Stop Station</v>
          </cell>
        </row>
        <row r="1471">
          <cell r="A1471" t="str">
            <v>3998</v>
          </cell>
          <cell r="B1471" t="str">
            <v>Nature's Way Garden</v>
          </cell>
        </row>
        <row r="1472">
          <cell r="A1472" t="str">
            <v>3999</v>
          </cell>
          <cell r="B1472" t="str">
            <v>Jyukai Restaurant</v>
          </cell>
        </row>
        <row r="1473">
          <cell r="A1473" t="str">
            <v>4000</v>
          </cell>
        </row>
        <row r="1474">
          <cell r="A1474" t="str">
            <v>4001</v>
          </cell>
          <cell r="B1474" t="str">
            <v>Viliran Trading</v>
          </cell>
        </row>
        <row r="1475">
          <cell r="A1475" t="str">
            <v>4002</v>
          </cell>
          <cell r="B1475" t="str">
            <v>Sumimoto Mitsui Banking Corporation</v>
          </cell>
        </row>
        <row r="1476">
          <cell r="A1476" t="str">
            <v>4003</v>
          </cell>
          <cell r="B1476" t="str">
            <v>NewWaveOffices Inc.</v>
          </cell>
        </row>
        <row r="1477">
          <cell r="A1477" t="str">
            <v>4004</v>
          </cell>
          <cell r="B1477" t="str">
            <v>Yusen Logistics Philippines Inc.</v>
          </cell>
        </row>
        <row r="1478">
          <cell r="A1478" t="str">
            <v>4005</v>
          </cell>
          <cell r="B1478" t="str">
            <v>Apex Rwl, Inc. (KMC Mag Solutions, Inc.)</v>
          </cell>
        </row>
        <row r="1479">
          <cell r="A1479" t="str">
            <v>4006</v>
          </cell>
          <cell r="B1479" t="str">
            <v>Ortigas Commercial Corp (formerly Capitol Commons Corp)</v>
          </cell>
        </row>
        <row r="1480">
          <cell r="A1480" t="str">
            <v>4007</v>
          </cell>
          <cell r="B1480" t="str">
            <v>One Palanca Land, Inc.</v>
          </cell>
        </row>
        <row r="1481">
          <cell r="A1481" t="str">
            <v>4008</v>
          </cell>
          <cell r="B1481" t="str">
            <v>Supima Holdings Inc</v>
          </cell>
        </row>
        <row r="1482">
          <cell r="A1482" t="str">
            <v>4009</v>
          </cell>
          <cell r="B1482" t="str">
            <v>Cost U Less Trade Ventures</v>
          </cell>
        </row>
        <row r="1483">
          <cell r="A1483" t="str">
            <v>4010</v>
          </cell>
          <cell r="B1483" t="str">
            <v>Holiday Inn Manila Galleria</v>
          </cell>
        </row>
        <row r="1484">
          <cell r="A1484" t="str">
            <v>4011</v>
          </cell>
          <cell r="B1484" t="str">
            <v>Metro Meter Office Furniture Trading</v>
          </cell>
        </row>
        <row r="1485">
          <cell r="A1485" t="str">
            <v>4012</v>
          </cell>
          <cell r="B1485" t="str">
            <v>Geoplan Philippines Inc</v>
          </cell>
        </row>
        <row r="1486">
          <cell r="A1486" t="str">
            <v>4013</v>
          </cell>
          <cell r="B1486" t="str">
            <v>NDGuzman Security and Investigation Agency Inc</v>
          </cell>
        </row>
        <row r="1487">
          <cell r="A1487" t="str">
            <v>4014</v>
          </cell>
          <cell r="B1487" t="str">
            <v>Natura Environmental Consulting Services, Inc.</v>
          </cell>
        </row>
        <row r="1488">
          <cell r="A1488" t="str">
            <v>4015</v>
          </cell>
          <cell r="B1488" t="str">
            <v>Cubix Office Inc</v>
          </cell>
        </row>
        <row r="1489">
          <cell r="A1489" t="str">
            <v>4016</v>
          </cell>
          <cell r="B1489" t="str">
            <v>CJ Morong Inc (CoralView Beach Resort)</v>
          </cell>
        </row>
        <row r="1490">
          <cell r="A1490" t="str">
            <v>4017</v>
          </cell>
          <cell r="B1490" t="str">
            <v>Pacific Glass Corporation</v>
          </cell>
        </row>
        <row r="1491">
          <cell r="A1491" t="str">
            <v>4018</v>
          </cell>
          <cell r="B1491" t="str">
            <v>Aspac Print Hub</v>
          </cell>
        </row>
        <row r="1492">
          <cell r="A1492" t="str">
            <v>4019</v>
          </cell>
          <cell r="B1492" t="str">
            <v>Copper Electronics Expertise Inc</v>
          </cell>
        </row>
        <row r="1493">
          <cell r="A1493" t="str">
            <v>4020</v>
          </cell>
          <cell r="B1493" t="str">
            <v>Living Water</v>
          </cell>
        </row>
        <row r="1494">
          <cell r="A1494" t="str">
            <v>4021</v>
          </cell>
          <cell r="B1494" t="str">
            <v>Manila Southern Associates Inc</v>
          </cell>
        </row>
        <row r="1495">
          <cell r="A1495" t="str">
            <v>4022</v>
          </cell>
          <cell r="B1495" t="str">
            <v>JMC Printing &amp; Bookbinding Services</v>
          </cell>
        </row>
        <row r="1496">
          <cell r="A1496" t="str">
            <v>4023</v>
          </cell>
          <cell r="B1496" t="str">
            <v>MC DLC Foods Inc (McDonald's Supima)</v>
          </cell>
        </row>
        <row r="1497">
          <cell r="A1497" t="str">
            <v>4024</v>
          </cell>
          <cell r="B1497" t="str">
            <v>Jollibee Foods Corporation</v>
          </cell>
        </row>
        <row r="1498">
          <cell r="A1498" t="str">
            <v>4025</v>
          </cell>
          <cell r="B1498" t="str">
            <v>Abacus Book and Card Corp</v>
          </cell>
        </row>
        <row r="1499">
          <cell r="A1499" t="str">
            <v>4026</v>
          </cell>
          <cell r="B1499" t="str">
            <v>ISS Facility Services Phils Inc</v>
          </cell>
        </row>
        <row r="1500">
          <cell r="A1500" t="str">
            <v>4027</v>
          </cell>
          <cell r="B1500" t="str">
            <v>Sanford Marketing Corporation</v>
          </cell>
        </row>
        <row r="1501">
          <cell r="A1501" t="str">
            <v>4028</v>
          </cell>
          <cell r="B1501" t="str">
            <v>Philippine Pizza Inc</v>
          </cell>
        </row>
        <row r="1502">
          <cell r="A1502" t="str">
            <v>4029</v>
          </cell>
          <cell r="B1502" t="str">
            <v>Avid Sales Corporation</v>
          </cell>
        </row>
        <row r="1503">
          <cell r="A1503" t="str">
            <v>4030</v>
          </cell>
          <cell r="B1503" t="str">
            <v>Microgenesis Software Inc</v>
          </cell>
        </row>
        <row r="1504">
          <cell r="A1504" t="str">
            <v>4031</v>
          </cell>
          <cell r="B1504" t="str">
            <v>C.M.O Construction Service Corporation</v>
          </cell>
        </row>
        <row r="1505">
          <cell r="A1505" t="str">
            <v>4032</v>
          </cell>
          <cell r="B1505" t="str">
            <v>A.P.A. Fortune Trading</v>
          </cell>
        </row>
        <row r="1506">
          <cell r="A1506" t="str">
            <v>4033</v>
          </cell>
          <cell r="B1506" t="str">
            <v>Maharlika Integrated Technical and Development Consultants Inc.</v>
          </cell>
        </row>
        <row r="1507">
          <cell r="A1507" t="str">
            <v>4034</v>
          </cell>
          <cell r="B1507" t="str">
            <v>Gypsy Transport Service</v>
          </cell>
        </row>
        <row r="1508">
          <cell r="A1508" t="str">
            <v>4035</v>
          </cell>
          <cell r="B1508" t="str">
            <v>SCHEMA Konsult Inc.</v>
          </cell>
        </row>
        <row r="1509">
          <cell r="A1509" t="str">
            <v>4036</v>
          </cell>
          <cell r="B1509" t="str">
            <v>SMEC Philippines, Inc.</v>
          </cell>
        </row>
        <row r="1510">
          <cell r="A1510" t="str">
            <v>4037</v>
          </cell>
          <cell r="B1510" t="str">
            <v>Cadenmar Foods Corp</v>
          </cell>
        </row>
        <row r="1511">
          <cell r="A1511" t="str">
            <v>4038</v>
          </cell>
          <cell r="B1511" t="str">
            <v>Madison Shopping Plaza Inc</v>
          </cell>
        </row>
        <row r="1512">
          <cell r="A1512" t="str">
            <v>4039</v>
          </cell>
          <cell r="B1512" t="str">
            <v>Southeastasia Retail Inc</v>
          </cell>
        </row>
        <row r="1513">
          <cell r="A1513" t="str">
            <v>4040</v>
          </cell>
          <cell r="B1513" t="str">
            <v>Rustan Coffee Corp</v>
          </cell>
        </row>
        <row r="1514">
          <cell r="A1514" t="str">
            <v>4041</v>
          </cell>
          <cell r="B1514" t="str">
            <v>PG Lawson Company Inc.</v>
          </cell>
        </row>
        <row r="1515">
          <cell r="A1515" t="str">
            <v>4042</v>
          </cell>
          <cell r="B1515" t="str">
            <v>CTL Image Enterprises</v>
          </cell>
        </row>
        <row r="1516">
          <cell r="A1516" t="str">
            <v>4043</v>
          </cell>
          <cell r="B1516" t="str">
            <v>Sari Hashizume</v>
          </cell>
        </row>
        <row r="1517">
          <cell r="A1517" t="str">
            <v>4044</v>
          </cell>
          <cell r="B1517" t="str">
            <v>Universal Holidays, Inc.</v>
          </cell>
        </row>
        <row r="1518">
          <cell r="A1518" t="str">
            <v>4045</v>
          </cell>
          <cell r="B1518" t="str">
            <v>Cadd Solutions Incorporated</v>
          </cell>
        </row>
        <row r="1519">
          <cell r="A1519" t="str">
            <v>4046</v>
          </cell>
          <cell r="B1519" t="str">
            <v>Stanley Bradley Trading, Inc.</v>
          </cell>
        </row>
        <row r="1520">
          <cell r="A1520" t="str">
            <v>4047</v>
          </cell>
          <cell r="B1520" t="str">
            <v>Converge Information and Communications Technology Solutions Inc.</v>
          </cell>
        </row>
        <row r="1521">
          <cell r="A1521" t="str">
            <v>4048</v>
          </cell>
          <cell r="B1521" t="str">
            <v>Plascard Industrial Co Inc</v>
          </cell>
        </row>
        <row r="1522">
          <cell r="A1522" t="str">
            <v>4049</v>
          </cell>
          <cell r="B1522" t="str">
            <v>RC2 Enterprises</v>
          </cell>
        </row>
        <row r="1523">
          <cell r="A1523" t="str">
            <v>4050</v>
          </cell>
          <cell r="B1523" t="str">
            <v>Expressions Stationery Shop Inc.</v>
          </cell>
        </row>
        <row r="1524">
          <cell r="A1524" t="str">
            <v>4051</v>
          </cell>
          <cell r="B1524" t="str">
            <v>Grand Union Supermarket, Inc.(South Supermarket)</v>
          </cell>
        </row>
        <row r="1525">
          <cell r="A1525" t="str">
            <v>4052</v>
          </cell>
          <cell r="B1525" t="str">
            <v>Golden Dame Food Center, Inc.</v>
          </cell>
        </row>
        <row r="1526">
          <cell r="A1526" t="str">
            <v>4053</v>
          </cell>
          <cell r="B1526" t="str">
            <v>Pilipinas Teleserv Inc</v>
          </cell>
        </row>
        <row r="1527">
          <cell r="A1527" t="str">
            <v>4054</v>
          </cell>
          <cell r="B1527" t="str">
            <v>Eastern Telecommunications Philippines Inc</v>
          </cell>
        </row>
        <row r="1528">
          <cell r="A1528" t="str">
            <v>4055</v>
          </cell>
          <cell r="B1528" t="str">
            <v>Kazoku Trading &amp; Management Services Co</v>
          </cell>
        </row>
        <row r="1529">
          <cell r="A1529" t="str">
            <v>4056</v>
          </cell>
          <cell r="B1529" t="str">
            <v>I-Suru Communications, Inc.</v>
          </cell>
        </row>
        <row r="1530">
          <cell r="A1530" t="str">
            <v>4057</v>
          </cell>
          <cell r="B1530" t="str">
            <v>Embassy of Sri Lanka</v>
          </cell>
        </row>
        <row r="1531">
          <cell r="A1531" t="str">
            <v>4058</v>
          </cell>
          <cell r="B1531" t="str">
            <v>Geolink Corporation</v>
          </cell>
        </row>
        <row r="1532">
          <cell r="A1532" t="str">
            <v>4059</v>
          </cell>
          <cell r="B1532" t="str">
            <v>MRDR Food Specialist</v>
          </cell>
        </row>
        <row r="1533">
          <cell r="A1533" t="str">
            <v>4060</v>
          </cell>
          <cell r="B1533" t="str">
            <v>Quartz Business Products Corporation</v>
          </cell>
        </row>
        <row r="1534">
          <cell r="A1534" t="str">
            <v>4061</v>
          </cell>
          <cell r="B1534" t="str">
            <v>Masterwheels Marketing - Branch</v>
          </cell>
        </row>
        <row r="1535">
          <cell r="A1535" t="str">
            <v>4062</v>
          </cell>
          <cell r="B1535" t="str">
            <v>ATSI Petc Incorporated</v>
          </cell>
        </row>
        <row r="1536">
          <cell r="A1536" t="str">
            <v>4063</v>
          </cell>
          <cell r="B1536" t="str">
            <v>JTO8 Trading </v>
          </cell>
        </row>
        <row r="1537">
          <cell r="A1537" t="str">
            <v>4064</v>
          </cell>
          <cell r="B1537" t="str">
            <v>Bistronomia Corp. (Las Flores)</v>
          </cell>
        </row>
        <row r="1538">
          <cell r="A1538" t="str">
            <v>4065</v>
          </cell>
          <cell r="B1538" t="str">
            <v>MKK - Office Supplies Trading</v>
          </cell>
        </row>
        <row r="1539">
          <cell r="A1539" t="str">
            <v>4066</v>
          </cell>
          <cell r="B1539" t="str">
            <v>Philippine Plaza Holdings Inc</v>
          </cell>
        </row>
        <row r="1540">
          <cell r="A1540" t="str">
            <v>4067</v>
          </cell>
          <cell r="B1540" t="str">
            <v>JR MX Savemore Malhacan</v>
          </cell>
        </row>
        <row r="1541">
          <cell r="A1541" t="str">
            <v>4068</v>
          </cell>
          <cell r="B1541" t="str">
            <v>Bartle Beyl Inc</v>
          </cell>
        </row>
        <row r="1542">
          <cell r="A1542" t="str">
            <v>4069</v>
          </cell>
          <cell r="B1542" t="str">
            <v>Fresh N Famous Foods Inc</v>
          </cell>
        </row>
        <row r="1543">
          <cell r="A1543" t="str">
            <v>4070</v>
          </cell>
          <cell r="B1543" t="str">
            <v>Aventador Retailers Incorporated</v>
          </cell>
        </row>
        <row r="1544">
          <cell r="A1544" t="str">
            <v>4071</v>
          </cell>
          <cell r="B1544" t="str">
            <v>Maxs Kitchen Inc</v>
          </cell>
        </row>
        <row r="1545">
          <cell r="A1545" t="str">
            <v>4072</v>
          </cell>
          <cell r="B1545" t="str">
            <v>Kareila Management Corp</v>
          </cell>
        </row>
        <row r="1546">
          <cell r="A1546" t="str">
            <v>4073</v>
          </cell>
          <cell r="B1546" t="str">
            <v>M I Seven Food Corporation</v>
          </cell>
        </row>
        <row r="1547">
          <cell r="A1547" t="str">
            <v>4074</v>
          </cell>
          <cell r="B1547" t="str">
            <v>BF &amp; MF Enterprise</v>
          </cell>
        </row>
        <row r="1548">
          <cell r="A1548" t="str">
            <v>4075</v>
          </cell>
          <cell r="B1548" t="str">
            <v>DMC ElectronicsElectrical&amp;Hardware</v>
          </cell>
        </row>
        <row r="1549">
          <cell r="A1549" t="str">
            <v>4076</v>
          </cell>
          <cell r="B1549" t="str">
            <v>Jesvill Marketing</v>
          </cell>
        </row>
        <row r="1550">
          <cell r="A1550" t="str">
            <v>4077</v>
          </cell>
          <cell r="B1550" t="str">
            <v>Davao Citihardware Inc.</v>
          </cell>
        </row>
        <row r="1551">
          <cell r="A1551" t="str">
            <v>4078</v>
          </cell>
          <cell r="B1551" t="str">
            <v>Jolis General Merchansdising, Incorporated</v>
          </cell>
        </row>
        <row r="1552">
          <cell r="A1552" t="str">
            <v>4079</v>
          </cell>
          <cell r="B1552" t="str">
            <v>Kilovolt Electronics Electrical Hardware</v>
          </cell>
        </row>
        <row r="1553">
          <cell r="A1553" t="str">
            <v>4080</v>
          </cell>
          <cell r="B1553" t="str">
            <v>L.J Hardware&amp;Construction Supplies</v>
          </cell>
        </row>
        <row r="1554">
          <cell r="A1554" t="str">
            <v>4081</v>
          </cell>
          <cell r="B1554" t="str">
            <v>Leiton Marketing</v>
          </cell>
        </row>
        <row r="1555">
          <cell r="A1555" t="str">
            <v>4082</v>
          </cell>
          <cell r="B1555" t="str">
            <v>Neilrein Trading</v>
          </cell>
        </row>
        <row r="1556">
          <cell r="A1556" t="str">
            <v>4083</v>
          </cell>
          <cell r="B1556" t="str">
            <v>Toyota Taytay, Rizal Inc.</v>
          </cell>
        </row>
        <row r="1557">
          <cell r="A1557" t="str">
            <v>4084</v>
          </cell>
          <cell r="B1557" t="str">
            <v>Wes-Grae Trading</v>
          </cell>
        </row>
        <row r="1558">
          <cell r="A1558" t="str">
            <v>4085</v>
          </cell>
          <cell r="B1558" t="str">
            <v>Capitol University Inc.</v>
          </cell>
        </row>
        <row r="1559">
          <cell r="A1559" t="str">
            <v>4086</v>
          </cell>
          <cell r="B1559" t="str">
            <v>Research Institute for Mindanao Culture</v>
          </cell>
        </row>
        <row r="1560">
          <cell r="A1560" t="str">
            <v>4087</v>
          </cell>
          <cell r="B1560" t="str">
            <v>Romero, Nelson Manalang</v>
          </cell>
        </row>
        <row r="1561">
          <cell r="A1561" t="str">
            <v>4088</v>
          </cell>
          <cell r="B1561" t="str">
            <v>Eton Properties Philippines, Inc.</v>
          </cell>
        </row>
        <row r="1562">
          <cell r="A1562" t="str">
            <v>4089</v>
          </cell>
          <cell r="B1562" t="str">
            <v>Perf Restaurants Inc</v>
          </cell>
        </row>
        <row r="1563">
          <cell r="A1563" t="str">
            <v>4090</v>
          </cell>
          <cell r="B1563" t="str">
            <v>DLC Foods  Inc</v>
          </cell>
        </row>
        <row r="1564">
          <cell r="A1564" t="str">
            <v>4091</v>
          </cell>
          <cell r="B1564" t="str">
            <v>IMC General Merchandise</v>
          </cell>
        </row>
        <row r="1565">
          <cell r="A1565" t="str">
            <v>4092</v>
          </cell>
          <cell r="B1565" t="str">
            <v>7912 MJM Leasing Corp.</v>
          </cell>
        </row>
        <row r="1566">
          <cell r="A1566" t="str">
            <v>4093</v>
          </cell>
          <cell r="B1566" t="str">
            <v>Century Woodmart</v>
          </cell>
        </row>
        <row r="1567">
          <cell r="A1567" t="str">
            <v>4094</v>
          </cell>
          <cell r="B1567" t="str">
            <v>Light Construction and Supply</v>
          </cell>
        </row>
        <row r="1568">
          <cell r="A1568" t="str">
            <v>4095</v>
          </cell>
          <cell r="B1568" t="str">
            <v>Romsan Refcon Mktg&amp;Services, Inc. </v>
          </cell>
        </row>
        <row r="1569">
          <cell r="A1569" t="str">
            <v>4096</v>
          </cell>
          <cell r="B1569" t="str">
            <v>Rustan Supercenters, Inc.</v>
          </cell>
        </row>
        <row r="1570">
          <cell r="A1570" t="str">
            <v>4097</v>
          </cell>
          <cell r="B1570" t="str">
            <v>KL Tower Rental Management Corporation</v>
          </cell>
        </row>
        <row r="1571">
          <cell r="A1571" t="str">
            <v>4098</v>
          </cell>
          <cell r="B1571" t="str">
            <v>Cagayan De Oro City Water District</v>
          </cell>
        </row>
        <row r="1572">
          <cell r="A1572" t="str">
            <v>4099</v>
          </cell>
          <cell r="B1572" t="str">
            <v>Cagayan Electric Power &amp; Light Co., Inc</v>
          </cell>
        </row>
        <row r="1573">
          <cell r="A1573" t="str">
            <v>4100</v>
          </cell>
          <cell r="B1573" t="str">
            <v>Aquaveo, LLC</v>
          </cell>
        </row>
        <row r="1574">
          <cell r="A1574" t="str">
            <v>4101</v>
          </cell>
          <cell r="B1574" t="str">
            <v>M.A.Y. First Bestfoods Services, Inc.</v>
          </cell>
        </row>
        <row r="1575">
          <cell r="A1575" t="str">
            <v>4102</v>
          </cell>
          <cell r="B1575" t="str">
            <v>Philippine Red Cross</v>
          </cell>
        </row>
        <row r="1576">
          <cell r="A1576" t="str">
            <v>4103</v>
          </cell>
          <cell r="B1576" t="str">
            <v>L and A Enterprises Inc</v>
          </cell>
        </row>
        <row r="1577">
          <cell r="A1577" t="str">
            <v>4104</v>
          </cell>
          <cell r="B1577" t="str">
            <v>Jerpat Foods Corp</v>
          </cell>
        </row>
        <row r="1578">
          <cell r="A1578" t="str">
            <v>4105</v>
          </cell>
          <cell r="B1578" t="str">
            <v>Salazar's Bookhaus</v>
          </cell>
        </row>
        <row r="1579">
          <cell r="A1579" t="str">
            <v>4106</v>
          </cell>
          <cell r="B1579" t="str">
            <v>GDA Enterprises</v>
          </cell>
        </row>
        <row r="1580">
          <cell r="A1580" t="str">
            <v>4107</v>
          </cell>
          <cell r="B1580" t="str">
            <v>CT Lopez Builders</v>
          </cell>
        </row>
        <row r="1581">
          <cell r="A1581" t="str">
            <v>4108</v>
          </cell>
          <cell r="B1581" t="str">
            <v>Chemical Merchants Corporation</v>
          </cell>
        </row>
        <row r="1582">
          <cell r="A1582" t="str">
            <v>4109</v>
          </cell>
          <cell r="B1582" t="str">
            <v>BBMAX TECH INC</v>
          </cell>
        </row>
        <row r="1583">
          <cell r="A1583" t="str">
            <v>4110</v>
          </cell>
          <cell r="B1583" t="str">
            <v>ImpleServ Enterprises</v>
          </cell>
        </row>
        <row r="1584">
          <cell r="A1584" t="str">
            <v>4111</v>
          </cell>
          <cell r="B1584" t="str">
            <v>Microgold Information Solution and Products Inc.</v>
          </cell>
        </row>
        <row r="1585">
          <cell r="A1585" t="str">
            <v>4112</v>
          </cell>
          <cell r="B1585" t="str">
            <v>Apex 5678 Rockwell Inc</v>
          </cell>
        </row>
        <row r="1586">
          <cell r="A1586" t="str">
            <v>4113</v>
          </cell>
          <cell r="B1586" t="str">
            <v>Toyota Manila Bay Corporation</v>
          </cell>
        </row>
        <row r="1587">
          <cell r="A1587" t="str">
            <v>4114</v>
          </cell>
          <cell r="B1587" t="str">
            <v>Axa Charter Ping An Insurance Corporation</v>
          </cell>
        </row>
        <row r="1588">
          <cell r="A1588" t="str">
            <v>4115</v>
          </cell>
          <cell r="B1588" t="str">
            <v>Sunny Bay Suites Inc</v>
          </cell>
        </row>
        <row r="1589">
          <cell r="A1589" t="str">
            <v>4116</v>
          </cell>
          <cell r="B1589" t="str">
            <v>United Bookstore</v>
          </cell>
        </row>
        <row r="1590">
          <cell r="A1590" t="str">
            <v>4117</v>
          </cell>
          <cell r="B1590" t="str">
            <v>PLDT Philcom Inc</v>
          </cell>
        </row>
        <row r="1591">
          <cell r="A1591" t="str">
            <v>4118</v>
          </cell>
          <cell r="B1591" t="str">
            <v>Vdynasty Corporation</v>
          </cell>
        </row>
        <row r="1592">
          <cell r="A1592" t="str">
            <v>4119</v>
          </cell>
          <cell r="B1592" t="str">
            <v>Triumph Hotel-Condominium Corporation</v>
          </cell>
        </row>
        <row r="1593">
          <cell r="A1593" t="str">
            <v>4120</v>
          </cell>
          <cell r="B1593" t="str">
            <v>Nippon Koei (Philippines)</v>
          </cell>
        </row>
        <row r="1594">
          <cell r="A1594" t="str">
            <v>4121</v>
          </cell>
          <cell r="B1594" t="str">
            <v>Family Health and Beauty Corp</v>
          </cell>
        </row>
        <row r="1595">
          <cell r="A1595" t="str">
            <v>4122</v>
          </cell>
          <cell r="B1595" t="str">
            <v>Office of the Treasurer - Meycauayan City</v>
          </cell>
        </row>
        <row r="1596">
          <cell r="A1596" t="str">
            <v>4123</v>
          </cell>
          <cell r="B1596" t="str">
            <v>Wilcon Depot Inc</v>
          </cell>
        </row>
        <row r="1597">
          <cell r="A1597" t="str">
            <v>4124</v>
          </cell>
          <cell r="B1597" t="str">
            <v>Grantline Inc</v>
          </cell>
        </row>
        <row r="1598">
          <cell r="A1598" t="str">
            <v>4125</v>
          </cell>
          <cell r="B1598" t="str">
            <v>SZE Trading</v>
          </cell>
        </row>
        <row r="1599">
          <cell r="A1599" t="str">
            <v>4126</v>
          </cell>
          <cell r="B1599" t="str">
            <v>Concept Specialist, Inc.</v>
          </cell>
        </row>
        <row r="1600">
          <cell r="A1600" t="str">
            <v>4127</v>
          </cell>
          <cell r="B1600" t="str">
            <v>K &amp; I Petron Service Center</v>
          </cell>
        </row>
        <row r="1601">
          <cell r="A1601" t="str">
            <v>4128</v>
          </cell>
          <cell r="B1601" t="str">
            <v>Treetops Shell Service Station</v>
          </cell>
        </row>
        <row r="1602">
          <cell r="A1602" t="str">
            <v>4129</v>
          </cell>
          <cell r="B1602" t="str">
            <v>Petron Corporation</v>
          </cell>
        </row>
        <row r="1603">
          <cell r="A1603" t="str">
            <v>4130</v>
          </cell>
          <cell r="B1603" t="str">
            <v>SEJJJE Trading Corp</v>
          </cell>
        </row>
        <row r="1604">
          <cell r="A1604" t="str">
            <v>4131</v>
          </cell>
          <cell r="B1604" t="str">
            <v>SM Autoservice and Car Accessories Phils Inc</v>
          </cell>
        </row>
        <row r="1605">
          <cell r="A1605" t="str">
            <v>4132</v>
          </cell>
          <cell r="B1605" t="str">
            <v>Fortune Bee Inc</v>
          </cell>
        </row>
        <row r="1606">
          <cell r="A1606" t="str">
            <v>4133</v>
          </cell>
          <cell r="B1606" t="str">
            <v>Silicon Valley</v>
          </cell>
        </row>
        <row r="1607">
          <cell r="A1607" t="str">
            <v>4134</v>
          </cell>
          <cell r="B1607" t="str">
            <v>Metalco Trading Corporation</v>
          </cell>
        </row>
        <row r="1608">
          <cell r="A1608" t="str">
            <v>4135</v>
          </cell>
          <cell r="B1608" t="str">
            <v>Petawealth Gasoline Station</v>
          </cell>
        </row>
        <row r="1609">
          <cell r="A1609" t="str">
            <v>4136</v>
          </cell>
          <cell r="B1609" t="str">
            <v>Goldcrest Mktg.Corp</v>
          </cell>
        </row>
        <row r="1610">
          <cell r="A1610" t="str">
            <v>4137</v>
          </cell>
          <cell r="B1610" t="str">
            <v>Ororama Supercenter, Inc.</v>
          </cell>
        </row>
        <row r="1611">
          <cell r="A1611" t="str">
            <v>4138</v>
          </cell>
          <cell r="B1611" t="str">
            <v>B. S Electrical</v>
          </cell>
        </row>
        <row r="1612">
          <cell r="A1612" t="str">
            <v>4139</v>
          </cell>
          <cell r="B1612" t="str">
            <v>Central Caltex Station EA-7 Inc.</v>
          </cell>
        </row>
        <row r="1613">
          <cell r="A1613" t="str">
            <v>4140</v>
          </cell>
          <cell r="B1613" t="str">
            <v>Summit World Philippines Inc.</v>
          </cell>
        </row>
        <row r="1614">
          <cell r="A1614" t="str">
            <v>4141</v>
          </cell>
          <cell r="B1614" t="str">
            <v>Lelen Furnishing Hauz</v>
          </cell>
        </row>
        <row r="1615">
          <cell r="A1615" t="str">
            <v>4142</v>
          </cell>
          <cell r="B1615" t="str">
            <v>Regent Furnishings</v>
          </cell>
        </row>
        <row r="1616">
          <cell r="A1616" t="str">
            <v>4143</v>
          </cell>
          <cell r="B1616" t="str">
            <v>Aegis Gas Station</v>
          </cell>
        </row>
        <row r="1617">
          <cell r="A1617" t="str">
            <v>4144</v>
          </cell>
          <cell r="B1617" t="str">
            <v>Cargo Padala Express Forwarding Services Corp.</v>
          </cell>
        </row>
        <row r="1618">
          <cell r="A1618" t="str">
            <v>4145</v>
          </cell>
          <cell r="B1618" t="str">
            <v>Carlos A. Gothong Lines, Inc.</v>
          </cell>
        </row>
        <row r="1619">
          <cell r="A1619" t="str">
            <v>4146</v>
          </cell>
          <cell r="B1619" t="str">
            <v>Port Shipping Services</v>
          </cell>
        </row>
        <row r="1620">
          <cell r="A1620" t="str">
            <v>4147</v>
          </cell>
          <cell r="B1620" t="str">
            <v>RJ Petron Bulilit Station</v>
          </cell>
        </row>
        <row r="1621">
          <cell r="A1621" t="str">
            <v>4148</v>
          </cell>
          <cell r="B1621" t="str">
            <v>Federal Brent Retail Inc</v>
          </cell>
        </row>
        <row r="1622">
          <cell r="A1622" t="str">
            <v>4149</v>
          </cell>
          <cell r="B1622" t="str">
            <v>Almirante Shell Super Station II</v>
          </cell>
        </row>
        <row r="1623">
          <cell r="A1623" t="str">
            <v>4150</v>
          </cell>
          <cell r="B1623" t="str">
            <v>FBP Mandaluyong Corporation</v>
          </cell>
        </row>
        <row r="1624">
          <cell r="A1624" t="str">
            <v>4151</v>
          </cell>
          <cell r="B1624" t="str">
            <v>Kmine Hardware</v>
          </cell>
        </row>
        <row r="1625">
          <cell r="A1625" t="str">
            <v>4152</v>
          </cell>
          <cell r="B1625" t="str">
            <v>Oro Super Petron Station</v>
          </cell>
        </row>
        <row r="1626">
          <cell r="A1626" t="str">
            <v>4153</v>
          </cell>
          <cell r="B1626" t="str">
            <v>Gaisano Interpace Corporation</v>
          </cell>
        </row>
        <row r="1627">
          <cell r="A1627" t="str">
            <v>4154</v>
          </cell>
          <cell r="B1627" t="str">
            <v>Petron Corporation  Gusa Branch</v>
          </cell>
        </row>
        <row r="1628">
          <cell r="A1628" t="str">
            <v>4155</v>
          </cell>
          <cell r="B1628" t="str">
            <v>BiengLu Marketing</v>
          </cell>
        </row>
        <row r="1629">
          <cell r="A1629" t="str">
            <v>4156</v>
          </cell>
          <cell r="B1629" t="str">
            <v>Iya'to Store</v>
          </cell>
        </row>
        <row r="1630">
          <cell r="A1630" t="str">
            <v>4157</v>
          </cell>
          <cell r="B1630" t="str">
            <v>Copier Land Phl Inc.</v>
          </cell>
        </row>
        <row r="1631">
          <cell r="A1631" t="str">
            <v>4158</v>
          </cell>
          <cell r="B1631" t="str">
            <v>Clargis Food Ventures Inc</v>
          </cell>
        </row>
        <row r="1632">
          <cell r="A1632" t="str">
            <v>4159</v>
          </cell>
          <cell r="B1632" t="str">
            <v>First Metro Link Food Corporation</v>
          </cell>
        </row>
        <row r="1633">
          <cell r="A1633" t="str">
            <v>4160</v>
          </cell>
          <cell r="B1633" t="str">
            <v>Syntactics, Inc.</v>
          </cell>
        </row>
        <row r="1634">
          <cell r="A1634" t="str">
            <v>4161</v>
          </cell>
          <cell r="B1634" t="str">
            <v>Shanghai Biscuit Factory</v>
          </cell>
        </row>
        <row r="1635">
          <cell r="A1635" t="str">
            <v>4162</v>
          </cell>
          <cell r="B1635" t="str">
            <v>Mama Janey Bakeshop</v>
          </cell>
        </row>
        <row r="1636">
          <cell r="A1636" t="str">
            <v>4163</v>
          </cell>
          <cell r="B1636" t="str">
            <v>Limbros Enterprises, Inc.</v>
          </cell>
        </row>
        <row r="1637">
          <cell r="A1637" t="str">
            <v>4164</v>
          </cell>
          <cell r="B1637" t="str">
            <v>Davao Sun-Asia General Merchandising, Inc.</v>
          </cell>
        </row>
        <row r="1638">
          <cell r="A1638" t="str">
            <v>4165</v>
          </cell>
          <cell r="B1638" t="str">
            <v>St. John Caltex Station</v>
          </cell>
        </row>
        <row r="1639">
          <cell r="A1639" t="str">
            <v>4166</v>
          </cell>
          <cell r="B1639" t="str">
            <v>VIC Imperial Appliance Plaza</v>
          </cell>
        </row>
        <row r="1640">
          <cell r="A1640" t="str">
            <v>4167</v>
          </cell>
          <cell r="B1640" t="str">
            <v>RAS Carpet Enterprises</v>
          </cell>
        </row>
        <row r="1641">
          <cell r="A1641" t="str">
            <v>4168</v>
          </cell>
          <cell r="B1641" t="str">
            <v>Bagong Lipunan Luncheonette</v>
          </cell>
        </row>
        <row r="1642">
          <cell r="A1642" t="str">
            <v>4169</v>
          </cell>
          <cell r="B1642" t="str">
            <v>Major Shopping Management Corp</v>
          </cell>
        </row>
        <row r="1643">
          <cell r="A1643" t="str">
            <v>4170</v>
          </cell>
          <cell r="B1643" t="str">
            <v>CIBI Information, Inc.</v>
          </cell>
        </row>
        <row r="1644">
          <cell r="A1644" t="str">
            <v>4171</v>
          </cell>
          <cell r="B1644" t="str">
            <v>Santiago &amp; Ababa Law Office</v>
          </cell>
        </row>
        <row r="1645">
          <cell r="A1645" t="str">
            <v>4172</v>
          </cell>
          <cell r="B1645" t="str">
            <v>KEIZO Restaurant</v>
          </cell>
        </row>
        <row r="1646">
          <cell r="A1646" t="str">
            <v>4173</v>
          </cell>
          <cell r="B1646" t="str">
            <v>UP Stage Restaurant &amp; Bar Café Inc.</v>
          </cell>
        </row>
        <row r="1647">
          <cell r="A1647" t="str">
            <v>4174</v>
          </cell>
          <cell r="B1647" t="str">
            <v>Money Tree Club Inc. </v>
          </cell>
        </row>
        <row r="1648">
          <cell r="A1648" t="str">
            <v>4175</v>
          </cell>
          <cell r="B1648" t="str">
            <v>Security Bank (Rufino Branch)</v>
          </cell>
        </row>
        <row r="1649">
          <cell r="A1649" t="str">
            <v>4176</v>
          </cell>
          <cell r="B1649" t="str">
            <v>Golance Car Care Center Corp.</v>
          </cell>
        </row>
        <row r="1650">
          <cell r="A1650" t="str">
            <v>4177</v>
          </cell>
          <cell r="B1650" t="str">
            <v>Sanrys Money Changer</v>
          </cell>
        </row>
        <row r="1651">
          <cell r="A1651" t="str">
            <v>4178</v>
          </cell>
          <cell r="B1651" t="str">
            <v>Metrobank (Rufino Branch)</v>
          </cell>
        </row>
        <row r="1652">
          <cell r="A1652" t="str">
            <v>4179</v>
          </cell>
          <cell r="B1652" t="str">
            <v>La Grotta Inc.</v>
          </cell>
        </row>
        <row r="1653">
          <cell r="A1653" t="str">
            <v>4180</v>
          </cell>
          <cell r="B1653" t="str">
            <v>KOTO-NO Japanese Restaurant</v>
          </cell>
        </row>
        <row r="1654">
          <cell r="A1654" t="str">
            <v>4181</v>
          </cell>
          <cell r="B1654" t="str">
            <v>JDVF Interior Design</v>
          </cell>
        </row>
        <row r="1655">
          <cell r="A1655" t="str">
            <v>4182</v>
          </cell>
          <cell r="B1655" t="str">
            <v>Club Balai Isabel Inc.</v>
          </cell>
        </row>
        <row r="1656">
          <cell r="A1656" t="str">
            <v>4183</v>
          </cell>
          <cell r="B1656" t="str">
            <v>Newdawn Hotel Plus</v>
          </cell>
        </row>
        <row r="1657">
          <cell r="A1657" t="str">
            <v>4184</v>
          </cell>
          <cell r="B1657" t="str">
            <v>Kevin Enterprises, Inc.</v>
          </cell>
        </row>
        <row r="1658">
          <cell r="A1658" t="str">
            <v>4185</v>
          </cell>
          <cell r="B1658" t="str">
            <v>Origins Waterhaus</v>
          </cell>
        </row>
        <row r="1659">
          <cell r="A1659" t="str">
            <v>4186</v>
          </cell>
          <cell r="B1659" t="str">
            <v>Cellpeak Enterprise</v>
          </cell>
        </row>
        <row r="1660">
          <cell r="A1660" t="str">
            <v>4187</v>
          </cell>
          <cell r="B1660" t="str">
            <v>Thinking Tools Inc</v>
          </cell>
        </row>
        <row r="1661">
          <cell r="A1661" t="str">
            <v>4188</v>
          </cell>
          <cell r="B1661" t="str">
            <v>Storm Trooper Security Agency</v>
          </cell>
        </row>
        <row r="1662">
          <cell r="A1662" t="str">
            <v>4189</v>
          </cell>
          <cell r="B1662" t="str">
            <v>Procurement Service (DBM)</v>
          </cell>
        </row>
        <row r="1663">
          <cell r="A1663" t="str">
            <v>4190</v>
          </cell>
          <cell r="B1663" t="str">
            <v>Eagle Point Resort</v>
          </cell>
        </row>
        <row r="1664">
          <cell r="A1664" t="str">
            <v>4191</v>
          </cell>
          <cell r="B1664" t="str">
            <v>Aquawings Inc.</v>
          </cell>
        </row>
        <row r="1665">
          <cell r="A1665" t="str">
            <v>4192</v>
          </cell>
          <cell r="B1665" t="str">
            <v>Alega's Realty Services Corp.</v>
          </cell>
        </row>
        <row r="1666">
          <cell r="A1666" t="str">
            <v>4193</v>
          </cell>
          <cell r="B1666" t="str">
            <v>Fire World Enterprises</v>
          </cell>
        </row>
        <row r="1667">
          <cell r="A1667" t="str">
            <v>4194</v>
          </cell>
          <cell r="B1667" t="str">
            <v>Ayala Land Inc.</v>
          </cell>
        </row>
        <row r="1668">
          <cell r="A1668" t="str">
            <v>4195</v>
          </cell>
          <cell r="B1668" t="str">
            <v>Park Terraces Condominium Corp.</v>
          </cell>
        </row>
        <row r="1669">
          <cell r="A1669" t="str">
            <v>4196</v>
          </cell>
          <cell r="B1669" t="str">
            <v>Globalaire Technology Corp.</v>
          </cell>
        </row>
        <row r="1670">
          <cell r="A1670" t="str">
            <v>4197</v>
          </cell>
          <cell r="B1670" t="str">
            <v>TestLab Engineering &amp; Geotech Services</v>
          </cell>
        </row>
        <row r="1671">
          <cell r="A1671" t="str">
            <v>4198</v>
          </cell>
          <cell r="B1671" t="str">
            <v>BDG8 Water Refilling Station</v>
          </cell>
        </row>
        <row r="1672">
          <cell r="A1672" t="str">
            <v>4199</v>
          </cell>
          <cell r="B1672" t="str">
            <v>Citysuper Incorporated</v>
          </cell>
        </row>
        <row r="1673">
          <cell r="A1673" t="str">
            <v>4200</v>
          </cell>
          <cell r="B1673" t="str">
            <v>Dobastar Printing Services</v>
          </cell>
        </row>
        <row r="1674">
          <cell r="A1674" t="str">
            <v>4201</v>
          </cell>
          <cell r="B1674" t="str">
            <v>Kelly Primary School Inc.</v>
          </cell>
        </row>
        <row r="1675">
          <cell r="A1675" t="str">
            <v>4202</v>
          </cell>
          <cell r="B1675" t="str">
            <v>Earth Grain, Inc.</v>
          </cell>
        </row>
        <row r="1676">
          <cell r="A1676" t="str">
            <v>4203</v>
          </cell>
          <cell r="B1676" t="str">
            <v>Ultra Shell Motorist Center, Inc.</v>
          </cell>
        </row>
        <row r="1677">
          <cell r="A1677" t="str">
            <v>4204</v>
          </cell>
          <cell r="B1677" t="str">
            <v>Italianni's</v>
          </cell>
        </row>
        <row r="1678">
          <cell r="A1678" t="str">
            <v>4205</v>
          </cell>
          <cell r="B1678" t="str">
            <v>Oriental Consultants Philippines Inc.</v>
          </cell>
        </row>
        <row r="1679">
          <cell r="A1679" t="str">
            <v>4206</v>
          </cell>
          <cell r="B1679" t="str">
            <v>New Tien-Tien Hotpot &amp; Restaurant Inc.</v>
          </cell>
        </row>
        <row r="1680">
          <cell r="A1680" t="str">
            <v>4207</v>
          </cell>
          <cell r="B1680" t="str">
            <v>T7 Music Lounge &amp; Restaurant</v>
          </cell>
        </row>
        <row r="1681">
          <cell r="A1681" t="str">
            <v>4208</v>
          </cell>
          <cell r="B1681" t="str">
            <v>Traders Industrial Supply Co., Inc.</v>
          </cell>
        </row>
        <row r="1682">
          <cell r="A1682" t="str">
            <v>4209</v>
          </cell>
          <cell r="B1682" t="str">
            <v>EVLS Food Center</v>
          </cell>
        </row>
        <row r="1683">
          <cell r="A1683" t="str">
            <v>4210</v>
          </cell>
          <cell r="B1683" t="str">
            <v>New Sachi Karaoke Club,Incorporated </v>
          </cell>
        </row>
        <row r="1684">
          <cell r="A1684" t="str">
            <v>4211</v>
          </cell>
          <cell r="B1684" t="str">
            <v>Philippine Vending Machine </v>
          </cell>
        </row>
        <row r="1685">
          <cell r="A1685" t="str">
            <v>4212</v>
          </cell>
          <cell r="B1685" t="str">
            <v>Imprenta Media / Jeffrey Lorenzo</v>
          </cell>
        </row>
        <row r="1686">
          <cell r="A1686" t="str">
            <v>4213</v>
          </cell>
          <cell r="B1686" t="str">
            <v>Tonyo's Grill</v>
          </cell>
        </row>
        <row r="1687">
          <cell r="A1687" t="str">
            <v>4214</v>
          </cell>
          <cell r="B1687" t="str">
            <v>Sakurako Karaoke Bar</v>
          </cell>
        </row>
        <row r="1688">
          <cell r="A1688" t="str">
            <v>4215</v>
          </cell>
          <cell r="B1688" t="str">
            <v>MJS Petroleum Station</v>
          </cell>
        </row>
        <row r="1689">
          <cell r="A1689" t="str">
            <v>4216</v>
          </cell>
          <cell r="B1689" t="str">
            <v>Starbright Office Depot, Inc.</v>
          </cell>
        </row>
        <row r="1690">
          <cell r="A1690" t="str">
            <v>4217</v>
          </cell>
          <cell r="B1690" t="str">
            <v>Kazunori Japanese Restaurant</v>
          </cell>
        </row>
        <row r="1691">
          <cell r="A1691" t="str">
            <v>4218</v>
          </cell>
          <cell r="B1691" t="str">
            <v>M.KawasakiRestaurant</v>
          </cell>
        </row>
        <row r="1692">
          <cell r="A1692" t="str">
            <v>4219</v>
          </cell>
          <cell r="B1692" t="str">
            <v>Herbie's Foodhaus &amp; Catering Services</v>
          </cell>
        </row>
        <row r="1693">
          <cell r="A1693" t="str">
            <v>4220</v>
          </cell>
          <cell r="B1693" t="str">
            <v>CDC Millennium Management Services, Inc.</v>
          </cell>
        </row>
        <row r="1694">
          <cell r="A1694" t="str">
            <v>4221</v>
          </cell>
          <cell r="B1694" t="str">
            <v>Air Asia</v>
          </cell>
        </row>
        <row r="1695">
          <cell r="A1695" t="str">
            <v>4222</v>
          </cell>
          <cell r="B1695" t="str">
            <v>M.Cayabyab Rubber Stamps / Mark A. Cayabyab</v>
          </cell>
        </row>
        <row r="1696">
          <cell r="A1696" t="str">
            <v>4223</v>
          </cell>
          <cell r="B1696" t="str">
            <v>Pacific Consultants Co., Ltd.</v>
          </cell>
        </row>
        <row r="1697">
          <cell r="A1697" t="str">
            <v>4224</v>
          </cell>
          <cell r="B1697" t="str">
            <v>Rannie R. Hizon</v>
          </cell>
        </row>
        <row r="1698">
          <cell r="A1698" t="str">
            <v>4225</v>
          </cell>
          <cell r="B1698" t="str">
            <v>Fablues Catering Services</v>
          </cell>
        </row>
        <row r="1699">
          <cell r="A1699" t="str">
            <v>4226</v>
          </cell>
          <cell r="B1699" t="str">
            <v>Neopace Inc</v>
          </cell>
        </row>
        <row r="1700">
          <cell r="A1700" t="str">
            <v>4227</v>
          </cell>
          <cell r="B1700" t="str">
            <v>MJM Rising Dragon Corporation</v>
          </cell>
        </row>
        <row r="1701">
          <cell r="A1701" t="str">
            <v>4228</v>
          </cell>
          <cell r="B1701" t="str">
            <v>Showcase Carpet Center and Co</v>
          </cell>
        </row>
        <row r="1702">
          <cell r="A1702" t="str">
            <v>4229</v>
          </cell>
          <cell r="B1702" t="str">
            <v>New Malhacan General Merchandise</v>
          </cell>
        </row>
        <row r="1703">
          <cell r="A1703" t="str">
            <v>4230</v>
          </cell>
          <cell r="B1703" t="str">
            <v>Marqthew Foods Corp.</v>
          </cell>
        </row>
        <row r="1704">
          <cell r="A1704" t="str">
            <v>4231</v>
          </cell>
          <cell r="B1704" t="str">
            <v>Super East Asia Ents., Inc</v>
          </cell>
        </row>
        <row r="1705">
          <cell r="A1705" t="str">
            <v>4232</v>
          </cell>
          <cell r="B1705" t="str">
            <v>Red Table</v>
          </cell>
        </row>
        <row r="1706">
          <cell r="A1706" t="str">
            <v>4233</v>
          </cell>
          <cell r="B1706" t="str">
            <v>DMDO Convenience Store</v>
          </cell>
        </row>
        <row r="1707">
          <cell r="A1707" t="str">
            <v>4234</v>
          </cell>
          <cell r="B1707" t="str">
            <v>BKN Enterprises</v>
          </cell>
        </row>
        <row r="1708">
          <cell r="A1708" t="str">
            <v>4235</v>
          </cell>
          <cell r="B1708" t="str">
            <v>C7 Store</v>
          </cell>
        </row>
        <row r="1709">
          <cell r="A1709" t="str">
            <v>4236</v>
          </cell>
          <cell r="B1709" t="str">
            <v>Systra Philippines Incorporated</v>
          </cell>
        </row>
        <row r="1710">
          <cell r="A1710" t="str">
            <v>4237</v>
          </cell>
          <cell r="B1710" t="str">
            <v>Keitaro Restaurant Bar and Cafe Inc.</v>
          </cell>
        </row>
        <row r="1711">
          <cell r="A1711" t="str">
            <v>4238</v>
          </cell>
          <cell r="B1711" t="str">
            <v>Infrasys, Inc.</v>
          </cell>
        </row>
        <row r="1712">
          <cell r="A1712" t="str">
            <v>4239</v>
          </cell>
          <cell r="B1712" t="str">
            <v>Prospercora S. Vega</v>
          </cell>
        </row>
        <row r="1713">
          <cell r="A1713" t="str">
            <v>4240</v>
          </cell>
          <cell r="B1713" t="str">
            <v>Phillip Beijingsub V. Po</v>
          </cell>
        </row>
        <row r="1714">
          <cell r="A1714" t="str">
            <v>4241</v>
          </cell>
          <cell r="B1714" t="str">
            <v>Katahira &amp; Engineers International</v>
          </cell>
        </row>
        <row r="1715">
          <cell r="A1715" t="str">
            <v>4242</v>
          </cell>
          <cell r="B1715" t="str">
            <v>Opes Salus Incorporated</v>
          </cell>
        </row>
        <row r="1716">
          <cell r="A1716" t="str">
            <v>4243</v>
          </cell>
          <cell r="B1716" t="str">
            <v>Josh Lea's catering Services</v>
          </cell>
        </row>
        <row r="1717">
          <cell r="A1717" t="str">
            <v>4244</v>
          </cell>
          <cell r="B1717" t="str">
            <v>Pat Palabok Food House</v>
          </cell>
        </row>
        <row r="1718">
          <cell r="A1718" t="str">
            <v>4245</v>
          </cell>
          <cell r="B1718" t="str">
            <v>Arise Marilao Food Corp</v>
          </cell>
        </row>
        <row r="1719">
          <cell r="A1719" t="str">
            <v>4246</v>
          </cell>
          <cell r="B1719" t="str">
            <v>Geodata System Technologies, Inc.</v>
          </cell>
        </row>
        <row r="1720">
          <cell r="A1720" t="str">
            <v>4247</v>
          </cell>
          <cell r="B1720" t="str">
            <v>Blue Mountain Safety and Industrial Products, Inc.</v>
          </cell>
        </row>
        <row r="1721">
          <cell r="A1721" t="str">
            <v>4248</v>
          </cell>
          <cell r="B1721" t="str">
            <v>Estrel's Caramel Cakes</v>
          </cell>
        </row>
        <row r="1722">
          <cell r="A1722" t="str">
            <v>4249</v>
          </cell>
          <cell r="B1722" t="str">
            <v>Greenfield Development Corporation</v>
          </cell>
        </row>
        <row r="1723">
          <cell r="A1723" t="str">
            <v>4250</v>
          </cell>
          <cell r="B1723" t="str">
            <v>Akim Restaurant</v>
          </cell>
        </row>
        <row r="1724">
          <cell r="A1724" t="str">
            <v>4251</v>
          </cell>
          <cell r="B1724" t="str">
            <v>BTL Mega Cellphone Load Express</v>
          </cell>
        </row>
        <row r="1725">
          <cell r="A1725" t="str">
            <v>4252</v>
          </cell>
          <cell r="B1725" t="str">
            <v>Savory Fastfood Inc.</v>
          </cell>
        </row>
        <row r="1726">
          <cell r="A1726" t="str">
            <v>4253</v>
          </cell>
          <cell r="B1726" t="str">
            <v>Oakridge Properties, Inc.</v>
          </cell>
        </row>
        <row r="1727">
          <cell r="A1727" t="str">
            <v>4254</v>
          </cell>
          <cell r="B1727" t="str">
            <v>Zagato Corporation</v>
          </cell>
        </row>
        <row r="1728">
          <cell r="A1728" t="str">
            <v>4255</v>
          </cell>
          <cell r="B1728" t="str">
            <v>Adi Gadgetworld Corporation</v>
          </cell>
        </row>
        <row r="1729">
          <cell r="A1729" t="str">
            <v>4256</v>
          </cell>
          <cell r="B1729" t="str">
            <v>Hello Plus Gadgets and Dialog Telecom</v>
          </cell>
        </row>
        <row r="1730">
          <cell r="A1730" t="str">
            <v>4257</v>
          </cell>
          <cell r="B1730" t="str">
            <v>2Ranp Trading Corp.</v>
          </cell>
        </row>
        <row r="1731">
          <cell r="A1731" t="str">
            <v>4258</v>
          </cell>
          <cell r="B1731" t="str">
            <v>Sunproperties Development Corporation</v>
          </cell>
        </row>
        <row r="1732">
          <cell r="A1732" t="str">
            <v>4259</v>
          </cell>
          <cell r="B1732" t="str">
            <v>Freedom Creative Solutions Inc.</v>
          </cell>
        </row>
        <row r="1733">
          <cell r="A1733" t="str">
            <v>4260</v>
          </cell>
          <cell r="B1733" t="str">
            <v>Ash Letrato Inc.</v>
          </cell>
        </row>
        <row r="1734">
          <cell r="A1734" t="str">
            <v>4261</v>
          </cell>
          <cell r="B1734" t="str">
            <v>Travel Managers International Incorporated</v>
          </cell>
        </row>
        <row r="1735">
          <cell r="A1735" t="str">
            <v>4262</v>
          </cell>
          <cell r="B1735" t="str">
            <v>Infinivan Inc.</v>
          </cell>
        </row>
        <row r="1736">
          <cell r="A1736" t="str">
            <v>4263</v>
          </cell>
          <cell r="B1736" t="str">
            <v>Shellsoft Technology Corp.</v>
          </cell>
        </row>
        <row r="1737">
          <cell r="A1737" t="str">
            <v>4264</v>
          </cell>
          <cell r="B1737" t="str">
            <v>Adi-Asiani Distributor Inc.</v>
          </cell>
        </row>
        <row r="1738">
          <cell r="A1738" t="str">
            <v>4265</v>
          </cell>
          <cell r="B1738" t="str">
            <v>RBQ Food Specialists Incorporated</v>
          </cell>
        </row>
        <row r="1739">
          <cell r="A1739" t="str">
            <v>4266</v>
          </cell>
          <cell r="B1739" t="str">
            <v>Sabretech Technology Inc</v>
          </cell>
        </row>
        <row r="1740">
          <cell r="A1740" t="str">
            <v>4267</v>
          </cell>
          <cell r="B1740" t="str">
            <v>BIM / Business Information Management</v>
          </cell>
        </row>
        <row r="1741">
          <cell r="A1741" t="str">
            <v>4268</v>
          </cell>
          <cell r="B1741" t="str">
            <v>Jetspeed Media Inc</v>
          </cell>
        </row>
        <row r="1742">
          <cell r="A1742" t="str">
            <v>4269</v>
          </cell>
          <cell r="B1742" t="str">
            <v>Chef's Way Company Inc</v>
          </cell>
        </row>
        <row r="1743">
          <cell r="A1743" t="str">
            <v>4270</v>
          </cell>
          <cell r="B1743" t="str">
            <v>Marybeth Ann O. Odo</v>
          </cell>
        </row>
        <row r="1744">
          <cell r="A1744" t="str">
            <v>4271</v>
          </cell>
          <cell r="B1744" t="str">
            <v>Leyte Technical and Development Management Consultants Inc</v>
          </cell>
        </row>
        <row r="1745">
          <cell r="A1745" t="str">
            <v>4272</v>
          </cell>
          <cell r="B1745" t="str">
            <v>Asia Biz-Hub Center Corporation</v>
          </cell>
        </row>
        <row r="1746">
          <cell r="A1746" t="str">
            <v>4273</v>
          </cell>
          <cell r="B1746" t="str">
            <v>Nemrac Medical &amp; Pharma Supplies Corp.</v>
          </cell>
        </row>
        <row r="1747">
          <cell r="A1747" t="str">
            <v>4274</v>
          </cell>
          <cell r="B1747" t="str">
            <v>Multi Dinning Services, Inc.</v>
          </cell>
        </row>
        <row r="1748">
          <cell r="A1748" t="str">
            <v>4275</v>
          </cell>
          <cell r="B1748" t="str">
            <v>JAD Twice Print Media Dealer</v>
          </cell>
        </row>
        <row r="1749">
          <cell r="A1749" t="str">
            <v>4276</v>
          </cell>
          <cell r="B1749" t="str">
            <v>Taeyoung International Corp</v>
          </cell>
        </row>
        <row r="1750">
          <cell r="A1750" t="str">
            <v>4277</v>
          </cell>
          <cell r="B1750" t="str">
            <v>OfficeMan Inc.</v>
          </cell>
        </row>
        <row r="1751">
          <cell r="A1751" t="str">
            <v>4278</v>
          </cell>
          <cell r="B1751" t="str">
            <v>Oracle (Philippines) Corp.</v>
          </cell>
        </row>
        <row r="1752">
          <cell r="A1752" t="str">
            <v>4279</v>
          </cell>
          <cell r="B1752" t="str">
            <v>GoDaddy.com, LLC</v>
          </cell>
        </row>
        <row r="1753">
          <cell r="A1753" t="str">
            <v>4280</v>
          </cell>
          <cell r="B1753" t="str">
            <v>CGP-IBP Inc.</v>
          </cell>
        </row>
        <row r="1754">
          <cell r="A1754" t="str">
            <v>4281</v>
          </cell>
          <cell r="B1754" t="str">
            <v>Top Gear Entertainment Concepts Inc.</v>
          </cell>
        </row>
        <row r="1755">
          <cell r="A1755" t="str">
            <v>4282</v>
          </cell>
          <cell r="B1755" t="str">
            <v>Silverdab Corporation</v>
          </cell>
        </row>
        <row r="1756">
          <cell r="A1756" t="str">
            <v>4283</v>
          </cell>
          <cell r="B1756" t="str">
            <v>Jade Garden</v>
          </cell>
        </row>
        <row r="1757">
          <cell r="A1757" t="str">
            <v>4284</v>
          </cell>
          <cell r="B1757" t="str">
            <v>Tequinox Corp.</v>
          </cell>
        </row>
        <row r="1758">
          <cell r="A1758" t="str">
            <v>4285</v>
          </cell>
          <cell r="B1758" t="str">
            <v>Vintecom Technology Solutions, Inc.</v>
          </cell>
        </row>
        <row r="1759">
          <cell r="A1759" t="str">
            <v>4286</v>
          </cell>
          <cell r="B1759" t="str">
            <v>Dela Peña Copy System &amp; General Merchandise</v>
          </cell>
        </row>
        <row r="1760">
          <cell r="A1760" t="str">
            <v>4287</v>
          </cell>
          <cell r="B1760" t="str">
            <v>Eduardo B. Mallari Jr</v>
          </cell>
        </row>
        <row r="1761">
          <cell r="A1761" t="str">
            <v>4288</v>
          </cell>
          <cell r="B1761" t="str">
            <v>Raquel A. Lopez</v>
          </cell>
        </row>
        <row r="1762">
          <cell r="A1762" t="str">
            <v>4289</v>
          </cell>
          <cell r="B1762" t="str">
            <v>Juan Antonio Manuel L. Ocampo</v>
          </cell>
        </row>
        <row r="1763">
          <cell r="A1763" t="str">
            <v>4290</v>
          </cell>
          <cell r="B1763" t="str">
            <v>PA Venue Food Ventures Inc</v>
          </cell>
        </row>
        <row r="1764">
          <cell r="A1764" t="str">
            <v>4291</v>
          </cell>
          <cell r="B1764" t="str">
            <v>Valzaf Enterprise</v>
          </cell>
        </row>
        <row r="1765">
          <cell r="A1765" t="str">
            <v>4292</v>
          </cell>
          <cell r="B1765" t="str">
            <v>JGS Lights and Sounds System</v>
          </cell>
        </row>
        <row r="1766">
          <cell r="A1766" t="str">
            <v>4293</v>
          </cell>
          <cell r="B1766" t="str">
            <v>AAM Home Decor</v>
          </cell>
        </row>
        <row r="1767">
          <cell r="A1767" t="str">
            <v>4294</v>
          </cell>
          <cell r="B1767" t="str">
            <v>Pares Mami House Corporation</v>
          </cell>
        </row>
        <row r="1768">
          <cell r="A1768" t="str">
            <v>4295</v>
          </cell>
          <cell r="B1768" t="str">
            <v>Bounty Agro Ventures Inc</v>
          </cell>
        </row>
        <row r="1769">
          <cell r="A1769" t="str">
            <v>4296</v>
          </cell>
          <cell r="B1769" t="str">
            <v>Pacific Apex Food Ventures Inc</v>
          </cell>
        </row>
        <row r="1770">
          <cell r="A1770" t="str">
            <v>4297</v>
          </cell>
          <cell r="B1770" t="str">
            <v>City Treasurer of Cagayan De Oro City</v>
          </cell>
        </row>
        <row r="1771">
          <cell r="A1771" t="str">
            <v>4298</v>
          </cell>
          <cell r="B1771" t="str">
            <v>10-17 Consulit Technologies &amp; Services Inc.</v>
          </cell>
        </row>
        <row r="1772">
          <cell r="A1772" t="str">
            <v>4299</v>
          </cell>
          <cell r="B1772" t="str">
            <v>JohnClements.Recruitment,Inc.</v>
          </cell>
        </row>
        <row r="1773">
          <cell r="A1773" t="str">
            <v>4300</v>
          </cell>
          <cell r="B1773" t="str">
            <v>Unimart Inc. </v>
          </cell>
        </row>
        <row r="1774">
          <cell r="A1774" t="str">
            <v>4301</v>
          </cell>
          <cell r="B1774" t="str">
            <v>HostGator.com</v>
          </cell>
        </row>
        <row r="1775">
          <cell r="A1775" t="str">
            <v>4302</v>
          </cell>
          <cell r="B1775" t="str">
            <v>Office Basics Corp. </v>
          </cell>
        </row>
        <row r="1776">
          <cell r="A1776" t="str">
            <v>4303</v>
          </cell>
          <cell r="B1776" t="str">
            <v>ABC Car Rentals and Tourist Transport Inc</v>
          </cell>
        </row>
        <row r="1777">
          <cell r="A1777" t="str">
            <v>4304</v>
          </cell>
          <cell r="B1777" t="str">
            <v>FELIIX INC.</v>
          </cell>
        </row>
        <row r="1778">
          <cell r="A1778" t="str">
            <v>4305</v>
          </cell>
          <cell r="B1778" t="str">
            <v>Reveron Consulting Pte Ltd</v>
          </cell>
        </row>
        <row r="1779">
          <cell r="A1779" t="str">
            <v>4306</v>
          </cell>
          <cell r="B1779" t="str">
            <v>Jackpot Food and Grill Corp.</v>
          </cell>
        </row>
        <row r="1780">
          <cell r="A1780" t="str">
            <v>4307</v>
          </cell>
          <cell r="B1780" t="str">
            <v>Lenwon Air Systems Corporation</v>
          </cell>
        </row>
        <row r="1781">
          <cell r="A1781" t="str">
            <v>4308</v>
          </cell>
          <cell r="B1781" t="str">
            <v>All Amazing Air Travel &amp; Tours Inc</v>
          </cell>
        </row>
        <row r="1782">
          <cell r="A1782" t="str">
            <v>4309</v>
          </cell>
          <cell r="B1782" t="str">
            <v>Tsoi, Sung Ming Lam</v>
          </cell>
        </row>
        <row r="1783">
          <cell r="A1783" t="str">
            <v>4310</v>
          </cell>
          <cell r="B1783" t="str">
            <v>The Columns Legazpi Village Condominium Corp.</v>
          </cell>
        </row>
        <row r="1784">
          <cell r="A1784" t="str">
            <v>4311</v>
          </cell>
          <cell r="B1784" t="str">
            <v>NNA Philippines Co., Inc.</v>
          </cell>
        </row>
        <row r="1785">
          <cell r="A1785" t="str">
            <v>4312</v>
          </cell>
          <cell r="B1785" t="str">
            <v>Aremce Transport Services</v>
          </cell>
        </row>
        <row r="1786">
          <cell r="A1786" t="str">
            <v>4313</v>
          </cell>
          <cell r="B1786" t="str">
            <v>CMDA Cleaning Services</v>
          </cell>
        </row>
        <row r="1787">
          <cell r="A1787" t="str">
            <v>4314</v>
          </cell>
          <cell r="B1787" t="str">
            <v>ProjectPro, Inc.</v>
          </cell>
        </row>
        <row r="1788">
          <cell r="A1788" t="str">
            <v>4315</v>
          </cell>
          <cell r="B1788" t="str">
            <v>Falkor Construction and Development Inc. </v>
          </cell>
        </row>
        <row r="1789">
          <cell r="A1789" t="str">
            <v>4316</v>
          </cell>
          <cell r="B1789" t="str">
            <v>Gakken (Philippines) Inc. </v>
          </cell>
        </row>
        <row r="1790">
          <cell r="A1790" t="str">
            <v>4317</v>
          </cell>
          <cell r="B1790" t="str">
            <v>Fugro Singapore Land Pte Ltd</v>
          </cell>
        </row>
        <row r="1791">
          <cell r="A1791" t="str">
            <v>4318</v>
          </cell>
          <cell r="B1791" t="str">
            <v>Virtual E-Com Solution Corp.</v>
          </cell>
        </row>
        <row r="1792">
          <cell r="A1792" t="str">
            <v>4319</v>
          </cell>
          <cell r="B1792" t="str">
            <v>Wyler Enterprises, Inc.</v>
          </cell>
        </row>
        <row r="1793">
          <cell r="A1793" t="str">
            <v>4320</v>
          </cell>
          <cell r="B1793" t="str">
            <v>IBM Philippines Inc.</v>
          </cell>
        </row>
        <row r="1794">
          <cell r="A1794" t="str">
            <v>4321</v>
          </cell>
          <cell r="B1794" t="str">
            <v>OpenTrack Railway Technology Ltd.</v>
          </cell>
        </row>
        <row r="1795">
          <cell r="A1795" t="str">
            <v>4322</v>
          </cell>
          <cell r="B1795" t="str">
            <v>Araneta Hotels, Inc.</v>
          </cell>
        </row>
        <row r="1796">
          <cell r="A1796" t="str">
            <v>4323</v>
          </cell>
          <cell r="B1796" t="str">
            <v>Cactus Realty Corporation</v>
          </cell>
        </row>
        <row r="1797">
          <cell r="A1797" t="str">
            <v>4324</v>
          </cell>
          <cell r="B1797" t="str">
            <v>Ronald Allan F. Tediong Medical Clinic</v>
          </cell>
        </row>
        <row r="1798">
          <cell r="A1798" t="str">
            <v>4325</v>
          </cell>
          <cell r="B1798" t="str">
            <v>Sahar International Trading, Inc.</v>
          </cell>
        </row>
        <row r="1799">
          <cell r="A1799" t="str">
            <v>4326</v>
          </cell>
          <cell r="B1799" t="str">
            <v>Wheels on Rails Land Transport Service/ Jeanneth Aguilar</v>
          </cell>
        </row>
        <row r="1800">
          <cell r="A1800" t="str">
            <v>4327</v>
          </cell>
          <cell r="B1800" t="str">
            <v>JJGIS Hardware / Gregorio S. Guansing Jr.</v>
          </cell>
        </row>
        <row r="1801">
          <cell r="A1801" t="str">
            <v>4328</v>
          </cell>
          <cell r="B1801" t="str">
            <v>LMA Law Offices</v>
          </cell>
        </row>
        <row r="1802">
          <cell r="A1802" t="str">
            <v>4329</v>
          </cell>
          <cell r="B1802" t="str">
            <v>Urban Integrated Consultants Inc</v>
          </cell>
        </row>
        <row r="1803">
          <cell r="A1803" t="str">
            <v>4330</v>
          </cell>
          <cell r="B1803" t="str">
            <v>REVLV Solutions Incorporated</v>
          </cell>
        </row>
        <row r="1804">
          <cell r="A1804" t="str">
            <v>4331</v>
          </cell>
          <cell r="B1804" t="str">
            <v>Mac J Pest Control Services</v>
          </cell>
        </row>
        <row r="1805">
          <cell r="A1805" t="str">
            <v>4332</v>
          </cell>
          <cell r="B1805" t="str">
            <v>Urban Gadgets Ph Inc</v>
          </cell>
        </row>
        <row r="1806">
          <cell r="A1806" t="str">
            <v>4333</v>
          </cell>
          <cell r="B1806" t="str">
            <v>Pryce Gases Inc</v>
          </cell>
        </row>
        <row r="1807">
          <cell r="A1807" t="str">
            <v>4334</v>
          </cell>
          <cell r="B1807" t="str">
            <v>Kristian Lyle C Estremera</v>
          </cell>
        </row>
        <row r="1808">
          <cell r="A1808" t="str">
            <v>4335</v>
          </cell>
          <cell r="B1808" t="str">
            <v>Master Shoppers Venue Inc</v>
          </cell>
        </row>
        <row r="1809">
          <cell r="A1809" t="str">
            <v>4336</v>
          </cell>
          <cell r="B1809" t="str">
            <v>Professional Services Inc</v>
          </cell>
        </row>
        <row r="1810">
          <cell r="A1810" t="str">
            <v>4337</v>
          </cell>
          <cell r="B1810" t="str">
            <v>Hi Precision Diagnostic Center Inc</v>
          </cell>
        </row>
        <row r="1811">
          <cell r="A1811" t="str">
            <v>4338</v>
          </cell>
          <cell r="B1811" t="str">
            <v>Bureau of Customs</v>
          </cell>
        </row>
        <row r="1812">
          <cell r="A1812" t="str">
            <v>4339</v>
          </cell>
          <cell r="B1812" t="str">
            <v>Takion Inc</v>
          </cell>
        </row>
        <row r="1813">
          <cell r="A1813" t="str">
            <v>4340</v>
          </cell>
          <cell r="B1813" t="str">
            <v>Gamori Cleaning Services Inc.</v>
          </cell>
        </row>
        <row r="1814">
          <cell r="A1814" t="str">
            <v>4341</v>
          </cell>
          <cell r="B1814" t="str">
            <v>Kohl Industries Corporation</v>
          </cell>
        </row>
        <row r="1815">
          <cell r="A1815" t="str">
            <v>4342</v>
          </cell>
          <cell r="B1815" t="str">
            <v>Prestige Hotels &amp; Resorts, Inc.</v>
          </cell>
        </row>
        <row r="1816">
          <cell r="A1816" t="str">
            <v>4343</v>
          </cell>
          <cell r="B1816" t="str">
            <v>Gameville Corporation </v>
          </cell>
        </row>
        <row r="1817">
          <cell r="A1817" t="str">
            <v>4344</v>
          </cell>
          <cell r="B1817" t="str">
            <v>Cheryl B. De Guzman/Safetyko Industrial Supplies</v>
          </cell>
        </row>
        <row r="1818">
          <cell r="A1818" t="str">
            <v>4345</v>
          </cell>
          <cell r="B1818" t="str">
            <v>JASR Documentation Services</v>
          </cell>
        </row>
        <row r="1819">
          <cell r="A1819" t="str">
            <v>4346</v>
          </cell>
          <cell r="B1819" t="str">
            <v>Ozone Purified Water Station</v>
          </cell>
        </row>
        <row r="1820">
          <cell r="A1820" t="str">
            <v>4347</v>
          </cell>
          <cell r="B1820" t="str">
            <v>Pinnacle Technologies Inc</v>
          </cell>
        </row>
        <row r="1821">
          <cell r="A1821" t="str">
            <v>4348</v>
          </cell>
          <cell r="B1821" t="str">
            <v>Topgolden Stitches Garments Manufacturing and Supply Corp.</v>
          </cell>
        </row>
        <row r="1822">
          <cell r="A1822" t="str">
            <v>4349</v>
          </cell>
          <cell r="B1822" t="str">
            <v>Aviso Valuation &amp; Advisory Corp.</v>
          </cell>
        </row>
        <row r="1823">
          <cell r="A1823" t="str">
            <v>4350</v>
          </cell>
          <cell r="B1823" t="str">
            <v>GEC-C JS foods Corp.</v>
          </cell>
        </row>
        <row r="1824">
          <cell r="A1824" t="str">
            <v>4351</v>
          </cell>
          <cell r="B1824" t="str">
            <v>S &amp; A Interpretation Translation Co.</v>
          </cell>
        </row>
        <row r="1825">
          <cell r="A1825" t="str">
            <v>4352</v>
          </cell>
          <cell r="B1825" t="str">
            <v>Marcus Jace Marketing</v>
          </cell>
        </row>
        <row r="1826">
          <cell r="A1826" t="str">
            <v>4353</v>
          </cell>
          <cell r="B1826" t="str">
            <v>Red Software</v>
          </cell>
        </row>
        <row r="1827">
          <cell r="A1827" t="str">
            <v>4354</v>
          </cell>
          <cell r="B1827" t="str">
            <v>Compuserve Land Surveying and Development</v>
          </cell>
        </row>
        <row r="1828">
          <cell r="A1828" t="str">
            <v>4355</v>
          </cell>
          <cell r="B1828" t="str">
            <v>Garces Hizon Pua Law Office &amp; Associates</v>
          </cell>
        </row>
        <row r="1829">
          <cell r="A1829" t="str">
            <v>4356</v>
          </cell>
          <cell r="B1829" t="str">
            <v>Caze Enterprises</v>
          </cell>
        </row>
        <row r="1830">
          <cell r="A1830" t="str">
            <v>4357</v>
          </cell>
          <cell r="B1830" t="str">
            <v>Realsan Enterprises</v>
          </cell>
        </row>
        <row r="1831">
          <cell r="A1831" t="str">
            <v>4358</v>
          </cell>
          <cell r="B1831" t="str">
            <v>Aquasure Water Trading</v>
          </cell>
        </row>
        <row r="1832">
          <cell r="A1832" t="str">
            <v>4359</v>
          </cell>
          <cell r="B1832" t="str">
            <v>Duco Printing Press / Raquel Coronado</v>
          </cell>
        </row>
        <row r="1833">
          <cell r="A1833" t="str">
            <v>4360</v>
          </cell>
          <cell r="B1833" t="str">
            <v>SMDI Consultants, Inc</v>
          </cell>
        </row>
        <row r="1834">
          <cell r="A1834" t="str">
            <v>4361</v>
          </cell>
          <cell r="B1834" t="str">
            <v>UM Superfoods Corp. </v>
          </cell>
        </row>
        <row r="1835">
          <cell r="A1835" t="str">
            <v>4362</v>
          </cell>
          <cell r="B1835" t="str">
            <v>RodLet Enterprises</v>
          </cell>
        </row>
        <row r="1836">
          <cell r="A1836" t="str">
            <v>4363</v>
          </cell>
          <cell r="B1836" t="str">
            <v>Aquaserds Water Station</v>
          </cell>
        </row>
        <row r="1837">
          <cell r="A1837" t="str">
            <v>4364</v>
          </cell>
          <cell r="B1837" t="str">
            <v>POSCO Engineering &amp; Construction Co. Ltd.</v>
          </cell>
        </row>
        <row r="1838">
          <cell r="A1838" t="str">
            <v>4365</v>
          </cell>
          <cell r="B1838" t="str">
            <v>Gemora Electronics Marketing &amp; Services</v>
          </cell>
        </row>
        <row r="1839">
          <cell r="A1839" t="str">
            <v>4366</v>
          </cell>
          <cell r="B1839" t="str">
            <v>JTB Asia Pacific Phil. Corp.</v>
          </cell>
        </row>
        <row r="1840">
          <cell r="A1840" t="str">
            <v>4367</v>
          </cell>
          <cell r="B1840" t="str">
            <v>Ram Fire Protection System Corp,</v>
          </cell>
        </row>
        <row r="1841">
          <cell r="A1841" t="str">
            <v>4368</v>
          </cell>
          <cell r="B1841" t="str">
            <v>Lee Designs Inc.</v>
          </cell>
        </row>
        <row r="1842">
          <cell r="A1842" t="str">
            <v>4369</v>
          </cell>
          <cell r="B1842" t="str">
            <v>Philippine Chinese Charitable Association Inc</v>
          </cell>
        </row>
        <row r="1843">
          <cell r="A1843" t="str">
            <v>4370</v>
          </cell>
          <cell r="B1843" t="str">
            <v>MZI Industrial Resources Inc</v>
          </cell>
        </row>
        <row r="1844">
          <cell r="A1844" t="str">
            <v>4371</v>
          </cell>
          <cell r="B1844" t="str">
            <v>Infomax Gold Enterprise</v>
          </cell>
        </row>
        <row r="1845">
          <cell r="A1845" t="str">
            <v>4372</v>
          </cell>
          <cell r="B1845" t="str">
            <v>Johnry C. Vitug</v>
          </cell>
        </row>
        <row r="1846">
          <cell r="A1846" t="str">
            <v>4373</v>
          </cell>
          <cell r="B1846" t="str">
            <v>Simmons Consult International Inc.</v>
          </cell>
        </row>
        <row r="1847">
          <cell r="A1847" t="str">
            <v>4374</v>
          </cell>
          <cell r="B1847" t="str">
            <v>JT Photoworld Incorporated</v>
          </cell>
        </row>
        <row r="1848">
          <cell r="A1848" t="str">
            <v>4375</v>
          </cell>
          <cell r="B1848" t="str">
            <v>Henry &amp; Sons Trading and Manufacturing Co. Inc.</v>
          </cell>
        </row>
        <row r="1849">
          <cell r="A1849" t="str">
            <v>4376</v>
          </cell>
          <cell r="B1849" t="str">
            <v>Cuisine et Fleur, Inc.</v>
          </cell>
        </row>
        <row r="1850">
          <cell r="A1850" t="str">
            <v>4377</v>
          </cell>
          <cell r="B1850" t="str">
            <v>Combless, Inc.</v>
          </cell>
        </row>
        <row r="1851">
          <cell r="A1851" t="str">
            <v>4378</v>
          </cell>
          <cell r="B1851" t="str">
            <v>Tarraco Group Inc.</v>
          </cell>
        </row>
        <row r="1852">
          <cell r="A1852" t="str">
            <v>4379</v>
          </cell>
          <cell r="B1852" t="str">
            <v>Yamachan Japanese Restaurant</v>
          </cell>
        </row>
        <row r="1853">
          <cell r="A1853" t="str">
            <v>4380</v>
          </cell>
          <cell r="B1853" t="str">
            <v>Mom and Tina's Bakery Café Corp</v>
          </cell>
        </row>
        <row r="1854">
          <cell r="A1854" t="str">
            <v>4381</v>
          </cell>
          <cell r="B1854" t="str">
            <v>Buan-O Corporation</v>
          </cell>
        </row>
        <row r="1855">
          <cell r="A1855" t="str">
            <v>4382</v>
          </cell>
          <cell r="B1855" t="str">
            <v>CMG Print &amp; Design Corporation</v>
          </cell>
        </row>
        <row r="1856">
          <cell r="A1856" t="str">
            <v>4383</v>
          </cell>
          <cell r="B1856" t="str">
            <v>Medical Doctors, Inc.</v>
          </cell>
        </row>
        <row r="1857">
          <cell r="A1857" t="str">
            <v>4384</v>
          </cell>
          <cell r="B1857" t="str">
            <v>Vhernadette's Eatery</v>
          </cell>
        </row>
        <row r="1858">
          <cell r="A1858" t="str">
            <v>4385</v>
          </cell>
          <cell r="B1858" t="str">
            <v>Bethel General Insurance &amp; Surety Corporation</v>
          </cell>
        </row>
        <row r="1859">
          <cell r="A1859" t="str">
            <v>4386</v>
          </cell>
          <cell r="B1859" t="str">
            <v>Outback Steakhouse</v>
          </cell>
        </row>
        <row r="1860">
          <cell r="A1860" t="str">
            <v>4387</v>
          </cell>
          <cell r="B1860" t="str">
            <v>St. Luke's Medical Center (Global City), Inc.</v>
          </cell>
        </row>
        <row r="1861">
          <cell r="A1861" t="str">
            <v>4388</v>
          </cell>
          <cell r="B1861" t="str">
            <v>Atty. Henry D. Adasa</v>
          </cell>
        </row>
        <row r="1862">
          <cell r="A1862" t="str">
            <v>4389</v>
          </cell>
          <cell r="B1862" t="str">
            <v>Eco Application Solutions Philippines Inc</v>
          </cell>
        </row>
        <row r="1863">
          <cell r="A1863" t="str">
            <v>4390</v>
          </cell>
          <cell r="B1863" t="str">
            <v>Chesa Bianca</v>
          </cell>
        </row>
        <row r="1864">
          <cell r="A1864" t="str">
            <v>4391</v>
          </cell>
          <cell r="B1864" t="str">
            <v>Almon Marina Inc</v>
          </cell>
        </row>
        <row r="1865">
          <cell r="A1865" t="str">
            <v>4392</v>
          </cell>
          <cell r="B1865" t="str">
            <v>AJY Embroidery / Belle Jahzelle Yap</v>
          </cell>
        </row>
        <row r="1866">
          <cell r="A1866" t="str">
            <v>4393</v>
          </cell>
          <cell r="B1866" t="str">
            <v>Matrix Marketing</v>
          </cell>
        </row>
        <row r="1867">
          <cell r="A1867" t="str">
            <v>4394</v>
          </cell>
          <cell r="B1867" t="str">
            <v>Golden Crest Int'l. Foods Corp</v>
          </cell>
        </row>
        <row r="1868">
          <cell r="A1868" t="str">
            <v>4395</v>
          </cell>
          <cell r="B1868" t="str">
            <v>ANCL Enterprise / Arman T. Lupio</v>
          </cell>
        </row>
        <row r="1869">
          <cell r="A1869" t="str">
            <v>4396</v>
          </cell>
          <cell r="B1869" t="str">
            <v>VALUEASIA Philippines Inc.</v>
          </cell>
        </row>
        <row r="1870">
          <cell r="A1870" t="str">
            <v>4397</v>
          </cell>
          <cell r="B1870" t="str">
            <v>City Treasurer of Quezon City</v>
          </cell>
        </row>
        <row r="1871">
          <cell r="A1871" t="str">
            <v>4398</v>
          </cell>
          <cell r="B1871" t="str">
            <v>AASB Trading</v>
          </cell>
        </row>
        <row r="1872">
          <cell r="A1872" t="str">
            <v>4399</v>
          </cell>
          <cell r="B1872" t="str">
            <v>Detoxicare Molecular Diagnostics Laboratory Inc.</v>
          </cell>
        </row>
        <row r="1873">
          <cell r="A1873" t="str">
            <v>4400</v>
          </cell>
          <cell r="B1873" t="str">
            <v>Infinite Systems Technology Corp.</v>
          </cell>
        </row>
        <row r="1874">
          <cell r="A1874" t="str">
            <v>4401</v>
          </cell>
          <cell r="B1874" t="str">
            <v>City Treasurer of Mandaluyong City</v>
          </cell>
        </row>
        <row r="1875">
          <cell r="A1875" t="str">
            <v>4402</v>
          </cell>
          <cell r="B1875" t="str">
            <v>AECOM Philippines, Inc.</v>
          </cell>
        </row>
        <row r="1876">
          <cell r="A1876" t="str">
            <v>4403</v>
          </cell>
          <cell r="B1876" t="str">
            <v>JP Bajaro Enterprise / John Paulo D. Bajaro</v>
          </cell>
        </row>
        <row r="1877">
          <cell r="A1877" t="str">
            <v>4404</v>
          </cell>
          <cell r="B1877" t="str">
            <v>Prevel Firewall Enterprises Inc.</v>
          </cell>
        </row>
        <row r="1878">
          <cell r="A1878" t="str">
            <v>4405</v>
          </cell>
          <cell r="B1878" t="str">
            <v>Rigidity Bolts and Tools Inc.</v>
          </cell>
        </row>
        <row r="1879">
          <cell r="A1879" t="str">
            <v>4406</v>
          </cell>
          <cell r="B1879" t="str">
            <v>Davao One World Diagnostic Center Inc.</v>
          </cell>
        </row>
        <row r="1880">
          <cell r="A1880" t="str">
            <v>4407</v>
          </cell>
          <cell r="B1880" t="str">
            <v>Meycauayan One World Medical and Lab Services</v>
          </cell>
        </row>
        <row r="1881">
          <cell r="A1881" t="str">
            <v>4408</v>
          </cell>
          <cell r="B1881" t="str">
            <v>Zoom Video Communications Inc.</v>
          </cell>
        </row>
        <row r="1882">
          <cell r="A1882" t="str">
            <v>4409</v>
          </cell>
          <cell r="B1882" t="str">
            <v>Uniquetech Electronic Gadgets and Accessories</v>
          </cell>
        </row>
        <row r="1883">
          <cell r="A1883" t="str">
            <v>4410</v>
          </cell>
          <cell r="B1883" t="str">
            <v>The Everest Lumber Corp</v>
          </cell>
        </row>
        <row r="1884">
          <cell r="A1884" t="str">
            <v>4411</v>
          </cell>
          <cell r="B1884" t="str">
            <v>Chow Nanki Food Center Inc</v>
          </cell>
        </row>
        <row r="1885">
          <cell r="A1885" t="str">
            <v>4412</v>
          </cell>
          <cell r="B1885" t="str">
            <v>Sanley Furniture Manufacturing / Richard O. Shih Jr.</v>
          </cell>
        </row>
        <row r="1886">
          <cell r="A1886" t="str">
            <v>4413</v>
          </cell>
          <cell r="B1886" t="str">
            <v>Kairos Laboratories and Diagnostics Inc.</v>
          </cell>
        </row>
        <row r="1887">
          <cell r="A1887" t="str">
            <v>4414</v>
          </cell>
          <cell r="B1887" t="str">
            <v>bioPATH Clinical Diagnostics Inc.</v>
          </cell>
        </row>
        <row r="1888">
          <cell r="A1888" t="str">
            <v>4415</v>
          </cell>
          <cell r="B1888" t="str">
            <v>COGL Management Limited Inc.</v>
          </cell>
        </row>
        <row r="1889">
          <cell r="A1889" t="str">
            <v>4416</v>
          </cell>
          <cell r="B1889" t="str">
            <v>Alluma Foods Inc.</v>
          </cell>
        </row>
        <row r="1890">
          <cell r="A1890" t="str">
            <v>4417</v>
          </cell>
          <cell r="B1890" t="str">
            <v>Suremax Auto Supply</v>
          </cell>
        </row>
        <row r="1891">
          <cell r="A1891" t="str">
            <v>4418</v>
          </cell>
          <cell r="B1891" t="str">
            <v>SGCL Commercial Building / Enrico Q. Mercado</v>
          </cell>
        </row>
        <row r="1892">
          <cell r="A1892" t="str">
            <v>4419</v>
          </cell>
          <cell r="B1892" t="str">
            <v>hospeco Philippines, Inc</v>
          </cell>
        </row>
        <row r="1893">
          <cell r="A1893" t="str">
            <v>4420</v>
          </cell>
          <cell r="B1893" t="str">
            <v>Naturale Labs, Inc.</v>
          </cell>
        </row>
        <row r="1894">
          <cell r="A1894" t="str">
            <v>4421</v>
          </cell>
          <cell r="B1894" t="str">
            <v>Lichel Technologies Inc.</v>
          </cell>
        </row>
        <row r="1895">
          <cell r="A1895" t="str">
            <v>4422</v>
          </cell>
          <cell r="B1895" t="str">
            <v>Mayer Photo Inc</v>
          </cell>
        </row>
        <row r="1896">
          <cell r="A1896" t="str">
            <v>4423</v>
          </cell>
          <cell r="B1896" t="str">
            <v>Rfcards Trading / Shella A. Evangelista</v>
          </cell>
        </row>
        <row r="1897">
          <cell r="A1897" t="str">
            <v>4424</v>
          </cell>
          <cell r="B1897" t="str">
            <v>My Greatwork Spaces, Inc.</v>
          </cell>
        </row>
        <row r="1898">
          <cell r="A1898" t="str">
            <v>4425</v>
          </cell>
          <cell r="B1898" t="str">
            <v>Crown Line (Philippines) Inc.</v>
          </cell>
        </row>
        <row r="1899">
          <cell r="A1899" t="str">
            <v>4426</v>
          </cell>
          <cell r="B1899" t="str">
            <v>Hansbury, Inc.</v>
          </cell>
        </row>
        <row r="1900">
          <cell r="A1900" t="str">
            <v>4427</v>
          </cell>
          <cell r="B1900" t="str">
            <v>The Red Envelope Corporation</v>
          </cell>
        </row>
        <row r="1901">
          <cell r="A1901" t="str">
            <v>4428</v>
          </cell>
          <cell r="B1901" t="str">
            <v>Microsoft Philippines Inc.</v>
          </cell>
        </row>
        <row r="1902">
          <cell r="A1902" t="str">
            <v>4429</v>
          </cell>
          <cell r="B1902" t="str">
            <v>Gerard Paolo Equipaje / Equipaje Surveyors &amp; Contractors</v>
          </cell>
        </row>
        <row r="1903">
          <cell r="A1903" t="str">
            <v>4430</v>
          </cell>
          <cell r="B1903" t="str">
            <v>Travel Cue Management Inc. </v>
          </cell>
        </row>
        <row r="1904">
          <cell r="A1904" t="str">
            <v>4431</v>
          </cell>
          <cell r="B1904" t="str">
            <v>REL Transport and Travel Service</v>
          </cell>
        </row>
        <row r="1905">
          <cell r="A1905" t="str">
            <v>4432</v>
          </cell>
          <cell r="B1905" t="str">
            <v>FUJI (Use CRM 3089)</v>
          </cell>
        </row>
        <row r="1906">
          <cell r="A1906" t="str">
            <v>4433</v>
          </cell>
          <cell r="B1906" t="str">
            <v>Agape Commercial Leasing / Angelita G. Esteban</v>
          </cell>
        </row>
        <row r="1907">
          <cell r="A1907" t="str">
            <v>4434</v>
          </cell>
          <cell r="B1907" t="str">
            <v>MR. BUGMASTER INC.</v>
          </cell>
        </row>
        <row r="1908">
          <cell r="A1908" t="str">
            <v>4435</v>
          </cell>
          <cell r="B1908" t="str">
            <v>Atty. Joshua P. Lapuz</v>
          </cell>
        </row>
        <row r="1909">
          <cell r="A1909" t="str">
            <v>4436</v>
          </cell>
          <cell r="B1909" t="str">
            <v>SITECH PHL Inc.</v>
          </cell>
        </row>
        <row r="1910">
          <cell r="A1910" t="str">
            <v>4437</v>
          </cell>
          <cell r="B1910" t="str">
            <v>Aldex Realty Corporation/Discovery Primea</v>
          </cell>
        </row>
        <row r="1911">
          <cell r="A1911" t="str">
            <v>4438</v>
          </cell>
          <cell r="B1911" t="str">
            <v>Makati North Hotel Ventures Inc.</v>
          </cell>
        </row>
        <row r="1912">
          <cell r="A1912" t="str">
            <v>4439</v>
          </cell>
          <cell r="B1912" t="str">
            <v>NIPAD Inc.</v>
          </cell>
        </row>
        <row r="1913">
          <cell r="A1913" t="str">
            <v>4440</v>
          </cell>
          <cell r="B1913" t="str">
            <v>Erjan Car Rental Services</v>
          </cell>
        </row>
        <row r="1914">
          <cell r="A1914" t="str">
            <v>4441</v>
          </cell>
          <cell r="B1914" t="str">
            <v>Pho Hoa Inc.</v>
          </cell>
        </row>
        <row r="1915">
          <cell r="A1915" t="str">
            <v>4442</v>
          </cell>
          <cell r="B1915" t="str">
            <v>MEC One World Inc.</v>
          </cell>
        </row>
        <row r="1916">
          <cell r="A1916" t="str">
            <v>4443</v>
          </cell>
          <cell r="B1916" t="str">
            <v>Sunrise Medical Lab, Inc.</v>
          </cell>
        </row>
        <row r="1917">
          <cell r="A1917" t="str">
            <v>4444</v>
          </cell>
          <cell r="B1917" t="str">
            <v>North Triangle Hotel Ventures, Inc</v>
          </cell>
        </row>
        <row r="1918">
          <cell r="A1918" t="str">
            <v>4445</v>
          </cell>
          <cell r="B1918" t="str">
            <v>Anson @Home Inc.</v>
          </cell>
        </row>
        <row r="1919">
          <cell r="A1919" t="str">
            <v>4446</v>
          </cell>
          <cell r="B1919" t="str">
            <v>Trinoma Roasters Inc.</v>
          </cell>
        </row>
        <row r="1920">
          <cell r="A1920" t="str">
            <v>4447</v>
          </cell>
          <cell r="B1920" t="str">
            <v>Enraunz Consultancy Services</v>
          </cell>
        </row>
        <row r="1921">
          <cell r="A1921" t="str">
            <v>4448</v>
          </cell>
          <cell r="B1921" t="str">
            <v>Fora Strategic Communications Consultancy Inc</v>
          </cell>
        </row>
        <row r="1922">
          <cell r="A1922" t="str">
            <v>4449</v>
          </cell>
          <cell r="B1922" t="str">
            <v>Trispecs Technologies OPC</v>
          </cell>
        </row>
        <row r="1923">
          <cell r="A1923" t="str">
            <v>4450</v>
          </cell>
          <cell r="B1923" t="str">
            <v>Auxytech Enterprises</v>
          </cell>
        </row>
        <row r="1924">
          <cell r="A1924" t="str">
            <v>4451</v>
          </cell>
          <cell r="B1924" t="str">
            <v>Systra MVA Singapore Pte Limited</v>
          </cell>
        </row>
        <row r="1925">
          <cell r="A1925" t="str">
            <v>4452</v>
          </cell>
          <cell r="B1925" t="str">
            <v>Embassy of the Phillipines</v>
          </cell>
        </row>
        <row r="1926">
          <cell r="A1926" t="str">
            <v>4453</v>
          </cell>
          <cell r="B1926" t="str">
            <v>Synology</v>
          </cell>
        </row>
        <row r="1927">
          <cell r="A1927" t="str">
            <v>4454</v>
          </cell>
          <cell r="B1927" t="str">
            <v>RCPJR Marketing &amp; Industrila Services</v>
          </cell>
        </row>
        <row r="1928">
          <cell r="A1928" t="str">
            <v>4455</v>
          </cell>
          <cell r="B1928" t="str">
            <v>Smartcard Technik Inc.</v>
          </cell>
        </row>
        <row r="1929">
          <cell r="A1929" t="str">
            <v>4456</v>
          </cell>
          <cell r="B1929" t="str">
            <v>Newark Spring Water Corp.</v>
          </cell>
        </row>
        <row r="1930">
          <cell r="A1930" t="str">
            <v>4457</v>
          </cell>
          <cell r="B1930" t="str">
            <v>Envia Consultancy Inc.</v>
          </cell>
        </row>
        <row r="1931">
          <cell r="A1931" t="str">
            <v>4458</v>
          </cell>
          <cell r="B1931" t="str">
            <v>MEC Manila Medical Supply</v>
          </cell>
        </row>
        <row r="1932">
          <cell r="A1932" t="str">
            <v>4459</v>
          </cell>
          <cell r="B1932" t="str">
            <v>Travel Cue Management Inc</v>
          </cell>
        </row>
        <row r="1933">
          <cell r="A1933" t="str">
            <v>4460</v>
          </cell>
          <cell r="B1933" t="str">
            <v>GEM5 Inc.</v>
          </cell>
        </row>
        <row r="1934">
          <cell r="A1934" t="str">
            <v>4461</v>
          </cell>
          <cell r="B1934" t="str">
            <v>Compre Trading</v>
          </cell>
        </row>
        <row r="1935">
          <cell r="A1935" t="str">
            <v>4462</v>
          </cell>
          <cell r="B1935" t="str">
            <v>Dr. Danilo V. Mallari Medical Clinic</v>
          </cell>
        </row>
        <row r="1936">
          <cell r="A1936" t="str">
            <v>4463</v>
          </cell>
          <cell r="B1936" t="str">
            <v>Kaiser Medical Center, Inc.</v>
          </cell>
        </row>
        <row r="1937">
          <cell r="A1937" t="str">
            <v>4464</v>
          </cell>
          <cell r="B1937" t="str">
            <v>New World Diagnostics Inc.</v>
          </cell>
        </row>
        <row r="1938">
          <cell r="A1938" t="str">
            <v>4465</v>
          </cell>
          <cell r="B1938" t="str">
            <v>JMQ Construction and Trading </v>
          </cell>
        </row>
        <row r="1939">
          <cell r="A1939" t="str">
            <v>4466</v>
          </cell>
          <cell r="B1939" t="str">
            <v>Digicare Medical Products Incorporated</v>
          </cell>
        </row>
        <row r="1940">
          <cell r="A1940" t="str">
            <v>4467</v>
          </cell>
          <cell r="B1940" t="str">
            <v>Tilton Yohan Li Di Tsoi</v>
          </cell>
        </row>
        <row r="1941">
          <cell r="A1941" t="str">
            <v>4468</v>
          </cell>
          <cell r="B1941" t="str">
            <v>Medical Dental Tests Center Inc</v>
          </cell>
        </row>
        <row r="1942">
          <cell r="A1942" t="str">
            <v>4469</v>
          </cell>
          <cell r="B1942" t="str">
            <v>FLB Industries, Inc.</v>
          </cell>
        </row>
        <row r="1943">
          <cell r="A1943" t="str">
            <v>4470</v>
          </cell>
          <cell r="B1943" t="str">
            <v>Second District Food Hub Corp.</v>
          </cell>
        </row>
        <row r="1944">
          <cell r="A1944" t="str">
            <v>4471</v>
          </cell>
          <cell r="B1944" t="str">
            <v>DOZENMAKER Inc</v>
          </cell>
        </row>
        <row r="1945">
          <cell r="A1945" t="str">
            <v>4472</v>
          </cell>
          <cell r="B1945" t="str">
            <v>Chronicles Works and Services Incorporated</v>
          </cell>
        </row>
        <row r="1946">
          <cell r="A1946" t="str">
            <v>4473</v>
          </cell>
          <cell r="B1946" t="str">
            <v>City of Meycauayan</v>
          </cell>
        </row>
        <row r="1947">
          <cell r="A1947" t="str">
            <v>4474</v>
          </cell>
          <cell r="B1947" t="str">
            <v>SmartMed Medical Services</v>
          </cell>
        </row>
        <row r="1948">
          <cell r="A1948" t="str">
            <v>4475</v>
          </cell>
          <cell r="B1948" t="str">
            <v>Be Safe MD Inc</v>
          </cell>
        </row>
        <row r="1949">
          <cell r="A1949" t="str">
            <v>4476</v>
          </cell>
          <cell r="B1949" t="str">
            <v>COMMCARE Inc</v>
          </cell>
        </row>
        <row r="1950">
          <cell r="A1950" t="str">
            <v>4477</v>
          </cell>
          <cell r="B1950" t="str">
            <v>Safeguard DNA Diagnostics Inc</v>
          </cell>
        </row>
        <row r="1951">
          <cell r="A1951" t="str">
            <v>4478</v>
          </cell>
          <cell r="B1951" t="str">
            <v>Golden Subs Restaurant Chain Corp</v>
          </cell>
        </row>
        <row r="1952">
          <cell r="A1952" t="str">
            <v>4479</v>
          </cell>
          <cell r="B1952" t="str">
            <v>Eastwest Bank</v>
          </cell>
        </row>
        <row r="1953">
          <cell r="A1953" t="str">
            <v>4480</v>
          </cell>
          <cell r="B1953" t="str">
            <v>Apex 8 SL, Inc</v>
          </cell>
        </row>
        <row r="1954">
          <cell r="A1954" t="str">
            <v>4481</v>
          </cell>
          <cell r="B1954" t="str">
            <v>BDB Iconsult Inc.</v>
          </cell>
        </row>
        <row r="1955">
          <cell r="A1955" t="str">
            <v>4482</v>
          </cell>
          <cell r="B1955" t="str">
            <v>NDR Surveying Services- Neil Kevin M. Del Rosario</v>
          </cell>
        </row>
        <row r="1956">
          <cell r="A1956" t="str">
            <v>4483</v>
          </cell>
          <cell r="B1956" t="str">
            <v>Premier Central Inc., Park Inn by Radison Clark</v>
          </cell>
        </row>
        <row r="1957">
          <cell r="A1957" t="str">
            <v>4484</v>
          </cell>
          <cell r="B1957" t="str">
            <v>Cobadiz Enterprises, Inc.</v>
          </cell>
        </row>
        <row r="1958">
          <cell r="A1958" t="str">
            <v>4485</v>
          </cell>
          <cell r="B1958" t="str">
            <v>Batteryworld, Inc</v>
          </cell>
        </row>
        <row r="1959">
          <cell r="A1959" t="str">
            <v>4486</v>
          </cell>
          <cell r="B1959" t="str">
            <v>City Treasurer of Pasig</v>
          </cell>
        </row>
        <row r="1960">
          <cell r="A1960" t="str">
            <v>4487</v>
          </cell>
          <cell r="B1960" t="str">
            <v>Philippine Vision Group (PGV) Inc</v>
          </cell>
        </row>
        <row r="1961">
          <cell r="A1961" t="str">
            <v>4488</v>
          </cell>
          <cell r="B1961" t="str">
            <v>Alphaland Makati Place, Inc</v>
          </cell>
        </row>
        <row r="1962">
          <cell r="A1962" t="str">
            <v>4489</v>
          </cell>
          <cell r="B1962" t="str">
            <v>Makati Cornerstone Leasing Corp.</v>
          </cell>
        </row>
        <row r="1963">
          <cell r="A1963" t="str">
            <v>4490</v>
          </cell>
          <cell r="B1963" t="str">
            <v>City of Manila, Office of the Mayor</v>
          </cell>
        </row>
        <row r="1964">
          <cell r="A1964" t="str">
            <v>4491</v>
          </cell>
          <cell r="B1964" t="str">
            <v>Step JP Printing Services Inc.</v>
          </cell>
        </row>
        <row r="1965">
          <cell r="A1965" t="str">
            <v>4492</v>
          </cell>
          <cell r="B1965" t="str">
            <v>A. C Tiban Surveying Office- Antero C. Tiban</v>
          </cell>
        </row>
        <row r="1966">
          <cell r="A1966" t="str">
            <v>4493</v>
          </cell>
          <cell r="B1966" t="str">
            <v>RCG Engraving Services &amp; Trading / Winnie D. Gasis</v>
          </cell>
        </row>
        <row r="1967">
          <cell r="A1967" t="str">
            <v>4494</v>
          </cell>
          <cell r="B1967" t="str">
            <v>G.A. Designs Signage Steel &amp; Metal Fabrication Services</v>
          </cell>
        </row>
        <row r="1968">
          <cell r="A1968" t="str">
            <v>4495</v>
          </cell>
          <cell r="B1968" t="str">
            <v>JDE Aqua Water Refilling Station</v>
          </cell>
        </row>
        <row r="1969">
          <cell r="A1969" t="str">
            <v>4496</v>
          </cell>
          <cell r="B1969" t="str">
            <v>SDW Premium Korean BBQ Inc.</v>
          </cell>
        </row>
        <row r="1970">
          <cell r="A1970" t="str">
            <v>4497</v>
          </cell>
          <cell r="B1970" t="str">
            <v>Souvenir Island General</v>
          </cell>
        </row>
        <row r="1971">
          <cell r="A1971" t="str">
            <v>4498</v>
          </cell>
          <cell r="B1971" t="str">
            <v>Kenny Rogers Roasters</v>
          </cell>
        </row>
        <row r="1972">
          <cell r="A1972" t="str">
            <v>4499</v>
          </cell>
          <cell r="B1972" t="str">
            <v>Philippine Airlines (Use CRM 3213)</v>
          </cell>
        </row>
        <row r="1973">
          <cell r="A1973" t="str">
            <v>4500</v>
          </cell>
          <cell r="B1973" t="str">
            <v>Food Panda</v>
          </cell>
        </row>
        <row r="1974">
          <cell r="A1974" t="str">
            <v>4501</v>
          </cell>
          <cell r="B1974" t="str">
            <v>Makati Cinema Square Condominium Corporation</v>
          </cell>
        </row>
        <row r="1975">
          <cell r="A1975" t="str">
            <v>4502</v>
          </cell>
          <cell r="B1975" t="str">
            <v>ACG Shell Service Station (Homer O. Garcia)</v>
          </cell>
        </row>
        <row r="1976">
          <cell r="A1976" t="str">
            <v>4503</v>
          </cell>
          <cell r="B1976" t="str">
            <v>Army Navy Inc.</v>
          </cell>
        </row>
        <row r="1977">
          <cell r="A1977" t="str">
            <v>4504</v>
          </cell>
          <cell r="B1977" t="str">
            <v>Grandeur Music Lounge and Resto Bar</v>
          </cell>
        </row>
        <row r="1978">
          <cell r="A1978" t="str">
            <v>4505</v>
          </cell>
          <cell r="B1978" t="str">
            <v>San Juan Medical Supplies</v>
          </cell>
        </row>
        <row r="1979">
          <cell r="A1979" t="str">
            <v>4506</v>
          </cell>
          <cell r="B1979" t="str">
            <v>TLC-Talent, Leadership &amp; Change Consultancy / Susan Grace R. Manalo</v>
          </cell>
        </row>
        <row r="1980">
          <cell r="A1980" t="str">
            <v>4507</v>
          </cell>
          <cell r="B1980" t="str">
            <v>Reveron Consulting Inc</v>
          </cell>
        </row>
        <row r="1981">
          <cell r="A1981" t="str">
            <v>4508</v>
          </cell>
          <cell r="B1981" t="str">
            <v>Dropbox International Unlimited Company</v>
          </cell>
        </row>
        <row r="1982">
          <cell r="A1982" t="str">
            <v>4509</v>
          </cell>
          <cell r="B1982" t="str">
            <v>Jon-jon Kapampangan Sizzling &amp; Eatery</v>
          </cell>
        </row>
        <row r="1983">
          <cell r="A1983" t="str">
            <v>4510</v>
          </cell>
          <cell r="B1983" t="str">
            <v>S1 Technologies, Inc.</v>
          </cell>
        </row>
        <row r="1984">
          <cell r="A1984" t="str">
            <v>4511</v>
          </cell>
          <cell r="B1984" t="str">
            <v>Occhialera Filipinas, Inc</v>
          </cell>
        </row>
        <row r="1985">
          <cell r="A1985" t="str">
            <v>4512</v>
          </cell>
          <cell r="B1985" t="str">
            <v>Metro Health Specialists Hospital, Inc.</v>
          </cell>
        </row>
        <row r="1986">
          <cell r="A1986" t="str">
            <v>4513</v>
          </cell>
          <cell r="B1986" t="str">
            <v>Airport Shuttle Services, Inc.</v>
          </cell>
        </row>
        <row r="1987">
          <cell r="A1987" t="str">
            <v>4514</v>
          </cell>
          <cell r="B1987" t="str">
            <v>The Picasso Botique Services Residences</v>
          </cell>
        </row>
        <row r="1988">
          <cell r="A1988" t="str">
            <v>4515</v>
          </cell>
          <cell r="B1988" t="str">
            <v>Fast Retailing Philippines, Inc.</v>
          </cell>
        </row>
        <row r="1989">
          <cell r="A1989" t="str">
            <v>4516</v>
          </cell>
          <cell r="B1989" t="str">
            <v>Al Molecular Diagnostic Laboratory, Inc</v>
          </cell>
        </row>
        <row r="1990">
          <cell r="A1990" t="str">
            <v>4517</v>
          </cell>
          <cell r="B1990" t="str">
            <v>Tealmont Environmental, Inc.</v>
          </cell>
        </row>
        <row r="1991">
          <cell r="A1991" t="str">
            <v>4518</v>
          </cell>
          <cell r="B1991" t="str">
            <v>University of Santo Tomas</v>
          </cell>
        </row>
        <row r="1992">
          <cell r="A1992" t="str">
            <v>4519</v>
          </cell>
          <cell r="B1992" t="str">
            <v>Government Service Insurance System </v>
          </cell>
        </row>
        <row r="1993">
          <cell r="A1993" t="str">
            <v>4520</v>
          </cell>
          <cell r="B1993" t="str">
            <v>SPI Parking Services Inc</v>
          </cell>
        </row>
        <row r="1994">
          <cell r="A1994" t="str">
            <v>4521</v>
          </cell>
          <cell r="B1994" t="str">
            <v>Copybee Trading and Services</v>
          </cell>
        </row>
        <row r="1995">
          <cell r="A1995" t="str">
            <v>4522</v>
          </cell>
          <cell r="B1995" t="str">
            <v>
Friendship Tours and Resorts Corporation</v>
          </cell>
        </row>
        <row r="1996">
          <cell r="A1996" t="str">
            <v>4523</v>
          </cell>
          <cell r="B1996" t="str">
            <v>Omiyage Japanese Restaurant</v>
          </cell>
        </row>
        <row r="1997">
          <cell r="A1997" t="str">
            <v>4524</v>
          </cell>
          <cell r="B1997" t="str">
            <v>Square Deal Office Resources Inc</v>
          </cell>
        </row>
        <row r="1998">
          <cell r="A1998" t="str">
            <v>4525</v>
          </cell>
          <cell r="B1998" t="str">
            <v>Designers FAD trading / Enamel C. Dimalanta</v>
          </cell>
        </row>
        <row r="1999">
          <cell r="A1999" t="str">
            <v>4526</v>
          </cell>
          <cell r="B1999" t="str">
            <v>JECAMS INC.</v>
          </cell>
        </row>
        <row r="2000">
          <cell r="A2000" t="str">
            <v>4527</v>
          </cell>
          <cell r="B2000" t="str">
            <v>Bon-Earnest Fire Extinguisher Trading / Mary Ann s. Claus</v>
          </cell>
        </row>
        <row r="2001">
          <cell r="A2001" t="str">
            <v>4528</v>
          </cell>
          <cell r="B2001" t="str">
            <v>Catholic Travel Inc.</v>
          </cell>
        </row>
        <row r="2002">
          <cell r="A2002" t="str">
            <v>4529</v>
          </cell>
          <cell r="B2002" t="str">
            <v>Chill Hub Café</v>
          </cell>
        </row>
        <row r="2003">
          <cell r="A2003" t="str">
            <v>4530</v>
          </cell>
          <cell r="B2003" t="str">
            <v>Isaribi Japanese Restaurant (by: Daikoku Foods Inc.)</v>
          </cell>
        </row>
        <row r="2004">
          <cell r="A2004" t="str">
            <v>4531</v>
          </cell>
          <cell r="B2004" t="str">
            <v>Wild Flour Bakery + Café Corp.</v>
          </cell>
        </row>
        <row r="2005">
          <cell r="A2005" t="str">
            <v>4532</v>
          </cell>
          <cell r="B2005" t="str">
            <v>SAS Management Inc</v>
          </cell>
        </row>
        <row r="2006">
          <cell r="A2006" t="str">
            <v>4533</v>
          </cell>
          <cell r="B2006" t="str">
            <v>Katahira &amp; Engineers International</v>
          </cell>
        </row>
        <row r="2007">
          <cell r="A2007" t="str">
            <v>4534</v>
          </cell>
          <cell r="B2007" t="str">
            <v>Knoxport, Inc</v>
          </cell>
        </row>
        <row r="2008">
          <cell r="A2008" t="str">
            <v>4535</v>
          </cell>
          <cell r="B2008" t="str">
            <v>Scottland Inc.</v>
          </cell>
        </row>
        <row r="2009">
          <cell r="A2009" t="str">
            <v>4536</v>
          </cell>
          <cell r="B2009" t="str">
            <v>Bardstown, Inc</v>
          </cell>
        </row>
        <row r="2010">
          <cell r="A2010" t="str">
            <v>4537</v>
          </cell>
          <cell r="B2010" t="str">
            <v>Panpacific Food Services, Inc</v>
          </cell>
        </row>
        <row r="2011">
          <cell r="A2011" t="str">
            <v>4538</v>
          </cell>
          <cell r="B2011" t="str">
            <v>Meat Here Unlimited Korean Bbbq Co.</v>
          </cell>
        </row>
        <row r="2012">
          <cell r="A2012" t="str">
            <v>4539</v>
          </cell>
          <cell r="B2012" t="str">
            <v>PLK Philippines, Inc</v>
          </cell>
        </row>
        <row r="2013">
          <cell r="A2013" t="str">
            <v>4540</v>
          </cell>
          <cell r="B2013" t="str">
            <v>ALGNOC CORP.</v>
          </cell>
        </row>
        <row r="2014">
          <cell r="A2014" t="str">
            <v>4541</v>
          </cell>
          <cell r="B2014" t="str">
            <v>Business Maker Academy Inc.</v>
          </cell>
        </row>
        <row r="2015">
          <cell r="A2015" t="str">
            <v>4542</v>
          </cell>
          <cell r="B2015" t="str">
            <v>People Dynamics, Inc.</v>
          </cell>
        </row>
        <row r="2016">
          <cell r="A2016" t="str">
            <v>4543</v>
          </cell>
          <cell r="B2016" t="str">
            <v>SAS Management Inc</v>
          </cell>
        </row>
        <row r="2017">
          <cell r="A2017" t="str">
            <v>4544</v>
          </cell>
          <cell r="B2017" t="str">
            <v>PBF Multitrade Marketing OPC</v>
          </cell>
        </row>
        <row r="2018">
          <cell r="A2018" t="str">
            <v>4545</v>
          </cell>
          <cell r="B2018" t="str">
            <v>Sam's Trainers in T-Shirts Training &amp; Devt. Center</v>
          </cell>
        </row>
        <row r="2019">
          <cell r="A2019" t="str">
            <v>4546</v>
          </cell>
          <cell r="B2019" t="str">
            <v>WJN Medical Supply</v>
          </cell>
        </row>
        <row r="2020">
          <cell r="A2020" t="str">
            <v>4547</v>
          </cell>
          <cell r="B2020" t="str">
            <v>Onofre B. Bersamina</v>
          </cell>
        </row>
        <row r="2021">
          <cell r="A2021" t="str">
            <v>4548</v>
          </cell>
          <cell r="B2021" t="str">
            <v>European Chamber of Commerce of the Philippines Inc.</v>
          </cell>
        </row>
        <row r="2022">
          <cell r="A2022" t="str">
            <v>4549</v>
          </cell>
          <cell r="B2022" t="str">
            <v>Parilla La Cabrera Manila Inc.</v>
          </cell>
        </row>
        <row r="2023">
          <cell r="A2023" t="str">
            <v>4550</v>
          </cell>
          <cell r="B2023" t="str">
            <v>Muhammad A. Malik, Shari'ah Lawyer</v>
          </cell>
        </row>
        <row r="2024">
          <cell r="A2024" t="str">
            <v>4551</v>
          </cell>
          <cell r="B2024" t="str">
            <v>Holiday Inn &amp; Suites</v>
          </cell>
        </row>
        <row r="2025">
          <cell r="A2025" t="str">
            <v>4552</v>
          </cell>
          <cell r="B2025" t="str">
            <v>GA Printing Inc.</v>
          </cell>
        </row>
        <row r="2026">
          <cell r="A2026" t="str">
            <v>4553</v>
          </cell>
          <cell r="B2026" t="str">
            <v>Yamazaki Japanese Restaurant</v>
          </cell>
        </row>
        <row r="2027">
          <cell r="A2027" t="str">
            <v>4554</v>
          </cell>
          <cell r="B2027" t="str">
            <v>Grab</v>
          </cell>
        </row>
        <row r="2028">
          <cell r="A2028" t="str">
            <v>4555</v>
          </cell>
          <cell r="B2028" t="str">
            <v>J2 United Ventures Inc.</v>
          </cell>
        </row>
        <row r="2029">
          <cell r="A2029" t="str">
            <v>4556</v>
          </cell>
          <cell r="B2029" t="str">
            <v>Tourism Infrastructure and Enterprise Zone Authority</v>
          </cell>
        </row>
        <row r="2030">
          <cell r="A2030" t="str">
            <v>4557</v>
          </cell>
          <cell r="B2030" t="str">
            <v>Rembrandt Hotel &amp; Towers</v>
          </cell>
        </row>
        <row r="2031">
          <cell r="A2031" t="str">
            <v>4558</v>
          </cell>
          <cell r="B2031" t="str">
            <v>Eccah Tube Ice Trading / Jesseca E. Potot</v>
          </cell>
        </row>
        <row r="2032">
          <cell r="A2032" t="str">
            <v>4559</v>
          </cell>
          <cell r="B2032" t="str">
            <v>Le Chef Inc.</v>
          </cell>
        </row>
        <row r="2033">
          <cell r="A2033" t="str">
            <v>4560</v>
          </cell>
          <cell r="B2033" t="str">
            <v>OBS Restaurant Phil. Corporation</v>
          </cell>
        </row>
        <row r="2034">
          <cell r="A2034" t="str">
            <v>4561</v>
          </cell>
          <cell r="B2034" t="str">
            <v>Sandwich 99 OPC</v>
          </cell>
        </row>
        <row r="2035">
          <cell r="A2035" t="str">
            <v>4562</v>
          </cell>
          <cell r="B2035" t="str">
            <v>Reins International Co., Ltd.</v>
          </cell>
        </row>
        <row r="2036">
          <cell r="A2036" t="str">
            <v>4563</v>
          </cell>
          <cell r="B2036" t="str">
            <v>VAR Buildings, Inc.</v>
          </cell>
        </row>
        <row r="2037">
          <cell r="A2037" t="str">
            <v>4564</v>
          </cell>
          <cell r="B2037" t="str">
            <v>Pillars Travel and Tours Corporation</v>
          </cell>
        </row>
        <row r="2038">
          <cell r="A2038" t="str">
            <v>4565</v>
          </cell>
          <cell r="B2038" t="str">
            <v>KGC Partners Co.</v>
          </cell>
        </row>
        <row r="2039">
          <cell r="A2039" t="str">
            <v>4566</v>
          </cell>
          <cell r="B2039" t="str">
            <v>Pacific Rim Innovation and Management Exponents, Inc.</v>
          </cell>
        </row>
        <row r="2040">
          <cell r="A2040" t="str">
            <v>4567</v>
          </cell>
          <cell r="B2040" t="str">
            <v>Korea Engineering Consultants Corp. - Philippine Branch</v>
          </cell>
        </row>
        <row r="2041">
          <cell r="A2041" t="str">
            <v>4568</v>
          </cell>
          <cell r="B2041" t="str">
            <v>Premium Global Essences Stores, Inc.</v>
          </cell>
        </row>
        <row r="2042">
          <cell r="A2042" t="str">
            <v>4569</v>
          </cell>
          <cell r="B2042" t="str">
            <v>Wine Specialist &amp; Beyond Inc.</v>
          </cell>
        </row>
        <row r="2043">
          <cell r="A2043" t="str">
            <v>4570</v>
          </cell>
          <cell r="B2043" t="str">
            <v>Mustbuy Office Supplies Corporation</v>
          </cell>
        </row>
        <row r="2044">
          <cell r="A2044" t="str">
            <v>4571</v>
          </cell>
          <cell r="B2044" t="str">
            <v>Moonlite Printing</v>
          </cell>
        </row>
        <row r="2045">
          <cell r="A2045" t="str">
            <v>4572</v>
          </cell>
          <cell r="B2045" t="str">
            <v>Katsu-ya Food Inc.</v>
          </cell>
        </row>
        <row r="2046">
          <cell r="A2046" t="str">
            <v>4573</v>
          </cell>
          <cell r="B2046" t="str">
            <v>Visayan Keys</v>
          </cell>
        </row>
        <row r="2047">
          <cell r="A2047" t="str">
            <v>4574</v>
          </cell>
          <cell r="B2047" t="str">
            <v>Regency for Expats Ltd</v>
          </cell>
        </row>
        <row r="2048">
          <cell r="A2048" t="str">
            <v>4575</v>
          </cell>
          <cell r="B2048" t="str">
            <v>Alavar Seafoods Restaurant</v>
          </cell>
        </row>
        <row r="2049">
          <cell r="A2049" t="str">
            <v>4576</v>
          </cell>
          <cell r="B2049" t="str">
            <v>Lorenzo B. Del Mundo</v>
          </cell>
        </row>
        <row r="2050">
          <cell r="A2050" t="str">
            <v>4577</v>
          </cell>
          <cell r="B2050" t="str">
            <v>Grill &amp; Restobar</v>
          </cell>
        </row>
        <row r="2051">
          <cell r="A2051" t="str">
            <v>4578</v>
          </cell>
          <cell r="B2051" t="str">
            <v>Chow Time Cuisine</v>
          </cell>
        </row>
        <row r="2052">
          <cell r="A2052" t="str">
            <v>4579</v>
          </cell>
          <cell r="B2052" t="str">
            <v>Azzura Econotel</v>
          </cell>
        </row>
        <row r="2053">
          <cell r="A2053" t="str">
            <v>4580</v>
          </cell>
          <cell r="B2053" t="str">
            <v>Western Grand Central Co., Inc</v>
          </cell>
        </row>
        <row r="2054">
          <cell r="A2054" t="str">
            <v>4581</v>
          </cell>
          <cell r="B2054" t="str">
            <v>Pridez Foods Services, Inc</v>
          </cell>
        </row>
        <row r="2055">
          <cell r="A2055" t="str">
            <v>4582</v>
          </cell>
          <cell r="B2055" t="str">
            <v>RIM Graphics Media Arts Center</v>
          </cell>
        </row>
        <row r="2056">
          <cell r="A2056" t="str">
            <v>4583</v>
          </cell>
          <cell r="B2056" t="str">
            <v>RD Colapo Enterprise</v>
          </cell>
        </row>
        <row r="2057">
          <cell r="A2057" t="str">
            <v>4584</v>
          </cell>
          <cell r="B2057" t="str">
            <v>Medico Exelente Marketing</v>
          </cell>
        </row>
        <row r="2058">
          <cell r="A2058" t="str">
            <v>4585</v>
          </cell>
          <cell r="B2058" t="str">
            <v>Wisebuy School and Office Supplies Depot</v>
          </cell>
        </row>
        <row r="2059">
          <cell r="A2059" t="str">
            <v>4586</v>
          </cell>
          <cell r="B2059" t="str">
            <v>German Club, Inc</v>
          </cell>
        </row>
        <row r="2060">
          <cell r="A2060" t="str">
            <v>4587</v>
          </cell>
          <cell r="B2060" t="str">
            <v>Sandwich888 Fast-Food Chain</v>
          </cell>
        </row>
        <row r="2061">
          <cell r="A2061" t="str">
            <v>4588</v>
          </cell>
          <cell r="B2061" t="str">
            <v>Golden Donuts Inc</v>
          </cell>
        </row>
        <row r="2062">
          <cell r="A2062" t="str">
            <v>4589</v>
          </cell>
          <cell r="B2062" t="str">
            <v>Kultura Store Inc</v>
          </cell>
        </row>
        <row r="2063">
          <cell r="A2063" t="str">
            <v>4590</v>
          </cell>
          <cell r="B2063" t="str">
            <v>Jesus Reynaldo R. Yambao Jr. (Caltex)</v>
          </cell>
        </row>
        <row r="2064">
          <cell r="A2064" t="str">
            <v>4591</v>
          </cell>
          <cell r="B2064" t="str">
            <v>Snad's Trading</v>
          </cell>
        </row>
        <row r="2065">
          <cell r="A2065" t="str">
            <v>4592</v>
          </cell>
          <cell r="B2065" t="str">
            <v>Cathay International Resources Corp.(Marco Polo Plaza Cebu)</v>
          </cell>
        </row>
        <row r="2066">
          <cell r="A2066" t="str">
            <v>4593</v>
          </cell>
          <cell r="B2066" t="str">
            <v>Gem Transpo and Tours, Inc</v>
          </cell>
        </row>
        <row r="2067">
          <cell r="A2067" t="str">
            <v>4594</v>
          </cell>
          <cell r="B2067" t="str">
            <v>MG Gateway Mantrade Corp.,</v>
          </cell>
        </row>
        <row r="2068">
          <cell r="A2068" t="str">
            <v>4595</v>
          </cell>
          <cell r="B2068" t="str">
            <v>Rajah Travel Corporation</v>
          </cell>
        </row>
        <row r="2069">
          <cell r="A2069" t="str">
            <v>4596</v>
          </cell>
          <cell r="B2069" t="str">
            <v>Familyhealth &amp; Beauty Corp.</v>
          </cell>
        </row>
        <row r="2070">
          <cell r="A2070" t="str">
            <v>4597</v>
          </cell>
          <cell r="B2070" t="str">
            <v>Ali Commercial Center, Inc.</v>
          </cell>
        </row>
        <row r="2071">
          <cell r="A2071" t="str">
            <v>4598</v>
          </cell>
          <cell r="B2071" t="str">
            <v>Hotel Tropika Davao, Inc.</v>
          </cell>
        </row>
        <row r="2072">
          <cell r="A2072" t="str">
            <v>4599</v>
          </cell>
          <cell r="B2072" t="str">
            <v>MIB Rent A Car (Meil John Barcemo)</v>
          </cell>
        </row>
        <row r="2073">
          <cell r="A2073" t="str">
            <v>4600</v>
          </cell>
          <cell r="B2073" t="str">
            <v>Ate Mar Kambingan</v>
          </cell>
        </row>
        <row r="2074">
          <cell r="A2074" t="str">
            <v>4601</v>
          </cell>
          <cell r="B2074" t="str">
            <v>EZACC Training Center</v>
          </cell>
        </row>
        <row r="2075">
          <cell r="A2075" t="str">
            <v>4602</v>
          </cell>
          <cell r="B2075" t="str">
            <v>Indu Inferentia Management Consultancy Inc.</v>
          </cell>
        </row>
        <row r="2076">
          <cell r="A2076" t="str">
            <v>4603</v>
          </cell>
          <cell r="B2076" t="str">
            <v>Manam's Pacit Pancitan</v>
          </cell>
        </row>
        <row r="2077">
          <cell r="A2077" t="str">
            <v>4604</v>
          </cell>
          <cell r="B2077" t="str">
            <v>Manuel Villanueva</v>
          </cell>
        </row>
        <row r="2078">
          <cell r="A2078" t="str">
            <v>4605</v>
          </cell>
          <cell r="B2078" t="str">
            <v>Tien Ma's Taiwanese Cuisine(Hawu Bicol Fantastic Corporation)</v>
          </cell>
        </row>
        <row r="2079">
          <cell r="A2079" t="str">
            <v>4606</v>
          </cell>
          <cell r="B2079" t="str">
            <v>Kristina Ira. B. Perez</v>
          </cell>
        </row>
        <row r="2080">
          <cell r="A2080" t="str">
            <v>4607</v>
          </cell>
          <cell r="B2080" t="str">
            <v>Viva International Food &amp; Restaurants, Inc</v>
          </cell>
        </row>
        <row r="2081">
          <cell r="A2081" t="str">
            <v>4608</v>
          </cell>
          <cell r="B2081" t="str">
            <v>Peak Motors Phils., Inc.</v>
          </cell>
        </row>
        <row r="2082">
          <cell r="A2082" t="str">
            <v>4609</v>
          </cell>
          <cell r="B2082" t="str">
            <v>Union Motor Corporation</v>
          </cell>
        </row>
        <row r="2083">
          <cell r="A2083" t="str">
            <v>4610</v>
          </cell>
          <cell r="B2083" t="str">
            <v>Mustard Seed Systems Corporation</v>
          </cell>
        </row>
        <row r="2084">
          <cell r="A2084" t="str">
            <v>4611</v>
          </cell>
          <cell r="B2084" t="str">
            <v>Serv Central Inc (SEAOIL)</v>
          </cell>
        </row>
        <row r="2085">
          <cell r="A2085" t="str">
            <v>4612</v>
          </cell>
          <cell r="B2085" t="str">
            <v>Sisev Ventures Inc (PETRON)</v>
          </cell>
        </row>
        <row r="2086">
          <cell r="A2086" t="str">
            <v>4613</v>
          </cell>
          <cell r="B2086" t="str">
            <v>Mapletree Holdings Inc (SHELL)</v>
          </cell>
        </row>
        <row r="2087">
          <cell r="A2087" t="str">
            <v>4614</v>
          </cell>
          <cell r="B2087" t="str">
            <v>Rosita F Dizon (PETRON)</v>
          </cell>
        </row>
        <row r="2088">
          <cell r="A2088" t="str">
            <v>4615</v>
          </cell>
          <cell r="B2088" t="str">
            <v>Katipunan Rex P Delos Reyes (SHELL)</v>
          </cell>
        </row>
        <row r="2089">
          <cell r="A2089" t="str">
            <v>4616</v>
          </cell>
          <cell r="B2089" t="str">
            <v>Stores Specialists Inc</v>
          </cell>
        </row>
        <row r="2090">
          <cell r="A2090" t="str">
            <v>4617</v>
          </cell>
          <cell r="B2090" t="str">
            <v>Primedev Infra Corp</v>
          </cell>
        </row>
        <row r="2091">
          <cell r="A2091" t="str">
            <v>4618</v>
          </cell>
          <cell r="B2091" t="str">
            <v>MIDASIT Philippines Corp</v>
          </cell>
        </row>
        <row r="2092">
          <cell r="A2092" t="str">
            <v>4619</v>
          </cell>
          <cell r="B2092" t="str">
            <v>Caluya Valera Montero and Balitaan Law Offices</v>
          </cell>
        </row>
        <row r="2093">
          <cell r="A2093" t="str">
            <v>4620</v>
          </cell>
          <cell r="B2093" t="str">
            <v>FRReal Occupational Health and Safety Training Services</v>
          </cell>
        </row>
        <row r="2094">
          <cell r="A2094" t="str">
            <v>4621</v>
          </cell>
          <cell r="B2094" t="str">
            <v>Lucky-C Food and Beverage Station </v>
          </cell>
        </row>
        <row r="2095">
          <cell r="A2095" t="str">
            <v>4622</v>
          </cell>
          <cell r="B2095" t="str">
            <v>EL ROI Medical Clinic and Diagnostic Center, Inc.</v>
          </cell>
        </row>
        <row r="2096">
          <cell r="A2096" t="str">
            <v>4623</v>
          </cell>
          <cell r="B2096" t="str">
            <v>Philstar Daily Inc. </v>
          </cell>
        </row>
        <row r="2097">
          <cell r="A2097" t="str">
            <v>4624</v>
          </cell>
          <cell r="B2097" t="str">
            <v>Pilipino Star Ngayon, Inc.</v>
          </cell>
        </row>
        <row r="2098">
          <cell r="A2098" t="str">
            <v>4625</v>
          </cell>
          <cell r="B2098" t="str">
            <v>John&amp;Jacob Pest Control Services</v>
          </cell>
        </row>
        <row r="2099">
          <cell r="A2099" t="str">
            <v>4626</v>
          </cell>
          <cell r="B2099" t="str">
            <v>Manaloto, Ryan Simbulan</v>
          </cell>
        </row>
        <row r="2100">
          <cell r="A2100" t="str">
            <v>4627</v>
          </cell>
          <cell r="B2100" t="str">
            <v>Macrotech MHZ Trading House Corp.</v>
          </cell>
        </row>
        <row r="2101">
          <cell r="A2101" t="str">
            <v>4628</v>
          </cell>
          <cell r="B2101" t="str">
            <v>Zamboanga Motors, Inc.</v>
          </cell>
        </row>
        <row r="2102">
          <cell r="A2102" t="str">
            <v>4629</v>
          </cell>
          <cell r="B2102" t="str">
            <v>Enin Computer Systems Inc</v>
          </cell>
        </row>
        <row r="2103">
          <cell r="A2103" t="str">
            <v>4630</v>
          </cell>
          <cell r="B2103" t="str">
            <v>Garden Orchid Hotel and Resort Corp</v>
          </cell>
        </row>
        <row r="2104">
          <cell r="A2104" t="str">
            <v>4631</v>
          </cell>
          <cell r="B2104" t="str">
            <v>Emerald K Parang (KM66 Van Rental)</v>
          </cell>
        </row>
        <row r="2105">
          <cell r="A2105" t="str">
            <v>4632</v>
          </cell>
          <cell r="B2105" t="str">
            <v>WINN Hotel</v>
          </cell>
        </row>
        <row r="2106">
          <cell r="A2106" t="str">
            <v>4633</v>
          </cell>
          <cell r="B2106" t="str">
            <v>Speed Way Fuel Supply Corp (CALTEX)</v>
          </cell>
        </row>
        <row r="2107">
          <cell r="A2107" t="str">
            <v>4634</v>
          </cell>
          <cell r="B2107" t="str">
            <v>Romulo Ceasar B Bajada (PETRON)</v>
          </cell>
        </row>
        <row r="2108">
          <cell r="A2108" t="str">
            <v>4635</v>
          </cell>
          <cell r="B2108" t="str">
            <v>Easytrip Services Corporation (EASYTRIP)</v>
          </cell>
        </row>
        <row r="2109">
          <cell r="A2109" t="str">
            <v>4636</v>
          </cell>
          <cell r="B2109" t="str">
            <v>Caliraya Resort Club Inc</v>
          </cell>
        </row>
        <row r="2110">
          <cell r="A2110" t="str">
            <v>4637</v>
          </cell>
          <cell r="B2110" t="str">
            <v>Valleylake Water Refilling Station</v>
          </cell>
        </row>
        <row r="2111">
          <cell r="A2111" t="str">
            <v>4638</v>
          </cell>
          <cell r="B2111" t="str">
            <v>Biggest Baddest Wings Restaurants Inc.</v>
          </cell>
        </row>
        <row r="2112">
          <cell r="A2112" t="str">
            <v>4639</v>
          </cell>
          <cell r="B2112" t="str">
            <v>Alexive Garcia </v>
          </cell>
        </row>
        <row r="2113">
          <cell r="A2113" t="str">
            <v>4640</v>
          </cell>
          <cell r="B2113" t="str">
            <v>Health Craft Medicine Supply</v>
          </cell>
        </row>
        <row r="2114">
          <cell r="A2114" t="str">
            <v>4641</v>
          </cell>
          <cell r="B2114" t="str">
            <v>RCA57 Detective Agency</v>
          </cell>
        </row>
        <row r="2115">
          <cell r="A2115" t="str">
            <v>4642</v>
          </cell>
          <cell r="B2115" t="str">
            <v>Joan E. Mejorada (Cherlikz Car Rental Services)</v>
          </cell>
        </row>
        <row r="2116">
          <cell r="A2116" t="str">
            <v>4643</v>
          </cell>
          <cell r="B2116" t="str">
            <v>Duco Printers Corp</v>
          </cell>
        </row>
        <row r="2117">
          <cell r="A2117" t="str">
            <v>4644</v>
          </cell>
          <cell r="B2117" t="str">
            <v>JMR Computer Center</v>
          </cell>
        </row>
        <row r="2118">
          <cell r="A2118" t="str">
            <v>4645</v>
          </cell>
          <cell r="B2118" t="str">
            <v>CHV Printing Services (George P. Banua Jr.)</v>
          </cell>
        </row>
        <row r="2119">
          <cell r="A2119" t="str">
            <v>4646</v>
          </cell>
          <cell r="B2119" t="str">
            <v>Yanmi Dry Goods (Irene G. Villaignacio)</v>
          </cell>
        </row>
        <row r="2120">
          <cell r="A2120" t="str">
            <v>4647</v>
          </cell>
          <cell r="B2120" t="str">
            <v>Hatchin Aki Corporation</v>
          </cell>
        </row>
        <row r="2121">
          <cell r="A2121" t="str">
            <v>4648</v>
          </cell>
          <cell r="B2121" t="str">
            <v>Sumitomo Corp (TKY) MRT3 Proj (S)</v>
          </cell>
        </row>
        <row r="2122">
          <cell r="A2122" t="str">
            <v>4649</v>
          </cell>
          <cell r="B2122" t="str">
            <v>Mandurriao Star, Inc</v>
          </cell>
        </row>
        <row r="2123">
          <cell r="A2123" t="str">
            <v>4650</v>
          </cell>
          <cell r="B2123" t="str">
            <v>Next Level Training for Energy and Environment Inc</v>
          </cell>
        </row>
        <row r="2124">
          <cell r="A2124" t="str">
            <v>4651</v>
          </cell>
          <cell r="B2124" t="str">
            <v>TAEYOUNG INTERNATIONAL CORP.</v>
          </cell>
        </row>
        <row r="2125">
          <cell r="A2125" t="str">
            <v>4652</v>
          </cell>
          <cell r="B2125" t="str">
            <v>J.M.R. COMPUTER CENTER</v>
          </cell>
        </row>
        <row r="2126">
          <cell r="A2126" t="str">
            <v>4653</v>
          </cell>
          <cell r="B2126" t="str">
            <v>Allegro Beverage Corporation</v>
          </cell>
        </row>
        <row r="2127">
          <cell r="A2127" t="str">
            <v>4654</v>
          </cell>
          <cell r="B2127" t="str">
            <v>MJAS ZENITH TRADING</v>
          </cell>
        </row>
        <row r="2128">
          <cell r="A2128" t="str">
            <v>4655</v>
          </cell>
          <cell r="B2128" t="str">
            <v>Haja Clark Travel</v>
          </cell>
        </row>
        <row r="2129">
          <cell r="A2129" t="str">
            <v>4656</v>
          </cell>
          <cell r="B2129" t="str">
            <v>Mechauma Japanese Restaurant(Jean Leslie D. Porras)</v>
          </cell>
        </row>
        <row r="2130">
          <cell r="A2130" t="str">
            <v>4657</v>
          </cell>
          <cell r="B2130" t="str">
            <v>JRMK Incorporated</v>
          </cell>
        </row>
        <row r="2131">
          <cell r="A2131" t="str">
            <v>4658</v>
          </cell>
          <cell r="B2131" t="str">
            <v>Gastroleku Restaurant Inc</v>
          </cell>
        </row>
        <row r="2132">
          <cell r="A2132" t="str">
            <v>4659</v>
          </cell>
          <cell r="B2132" t="str">
            <v>Sumo Chaya Sekitori, Inc</v>
          </cell>
        </row>
        <row r="2133">
          <cell r="A2133" t="str">
            <v>4660</v>
          </cell>
          <cell r="B2133" t="str">
            <v>Minnano Trading Inc</v>
          </cell>
        </row>
        <row r="2134">
          <cell r="A2134" t="str">
            <v>4661</v>
          </cell>
          <cell r="B2134" t="str">
            <v>Peking Garden by:Exotic Cuisine Inc</v>
          </cell>
        </row>
        <row r="2135">
          <cell r="A2135" t="str">
            <v>4662</v>
          </cell>
          <cell r="B2135" t="str">
            <v>Audio Video Intelligence Corporation</v>
          </cell>
        </row>
        <row r="2136">
          <cell r="A2136" t="str">
            <v>4663</v>
          </cell>
          <cell r="B2136" t="str">
            <v>The Alpha Suites, Inc</v>
          </cell>
        </row>
        <row r="2137">
          <cell r="A2137" t="str">
            <v>4664</v>
          </cell>
          <cell r="B2137" t="str">
            <v>Institute of Entrepreneurial Management, Inc.</v>
          </cell>
        </row>
        <row r="2138">
          <cell r="A2138" t="str">
            <v>4665</v>
          </cell>
          <cell r="B2138" t="str">
            <v>Lalamove</v>
          </cell>
        </row>
        <row r="2139">
          <cell r="A2139" t="str">
            <v>4666</v>
          </cell>
          <cell r="B2139" t="str">
            <v>CNC STAMP</v>
          </cell>
        </row>
        <row r="2140">
          <cell r="A2140" t="str">
            <v>4667</v>
          </cell>
          <cell r="B2140" t="str">
            <v>Erlinda D. Gutierrez(Myiel-Alexis Cellphone Repair &amp; Accessories)</v>
          </cell>
        </row>
        <row r="2141">
          <cell r="A2141" t="str">
            <v>4668</v>
          </cell>
        </row>
        <row r="2142">
          <cell r="A2142" t="str">
            <v>4669</v>
          </cell>
          <cell r="B2142" t="str">
            <v>Brianna Innovations &amp; Solutions Corporation</v>
          </cell>
        </row>
        <row r="2143">
          <cell r="A2143" t="str">
            <v>4670</v>
          </cell>
          <cell r="B2143" t="str">
            <v>Montenegro Shipping Lines Inc</v>
          </cell>
        </row>
        <row r="2144">
          <cell r="A2144" t="str">
            <v>4671</v>
          </cell>
          <cell r="B2144" t="str">
            <v>Freemont Foods Corporation JOLLIBEE</v>
          </cell>
        </row>
        <row r="2145">
          <cell r="A2145" t="str">
            <v>4672</v>
          </cell>
          <cell r="B2145" t="str">
            <v>Shell BRYC V Service Station Corporation</v>
          </cell>
        </row>
        <row r="2146">
          <cell r="A2146" t="str">
            <v>4673</v>
          </cell>
          <cell r="B2146" t="str">
            <v>Arnel  O. Maravilla (Guiwan Shell Station)</v>
          </cell>
        </row>
        <row r="2147">
          <cell r="A2147" t="str">
            <v>4674</v>
          </cell>
          <cell r="B2147" t="str">
            <v>Delfin L. Saavedra (San Jose Super Shell Station)</v>
          </cell>
        </row>
        <row r="2148">
          <cell r="A2148" t="str">
            <v>4675</v>
          </cell>
          <cell r="B2148" t="str">
            <v>ComputerBytes Corporation</v>
          </cell>
        </row>
        <row r="2149">
          <cell r="A2149" t="str">
            <v>4676</v>
          </cell>
          <cell r="B2149" t="str">
            <v>Caluya Valera Montero and Balitaan Law Offices</v>
          </cell>
        </row>
        <row r="2150">
          <cell r="A2150" t="str">
            <v>4677</v>
          </cell>
          <cell r="B2150" t="str">
            <v>Atty. James K. Abugan</v>
          </cell>
        </row>
        <row r="2151">
          <cell r="A2151" t="str">
            <v>4678</v>
          </cell>
          <cell r="B2151" t="str">
            <v>Sanda Diagnostic Center</v>
          </cell>
        </row>
        <row r="2152">
          <cell r="A2152" t="str">
            <v>4679</v>
          </cell>
          <cell r="B2152" t="str">
            <v>Alejandro B. Roxas, Jr.(Virtual Ultrasound and Diagnostic Center)</v>
          </cell>
        </row>
        <row r="2153">
          <cell r="A2153" t="str">
            <v>4680</v>
          </cell>
          <cell r="B2153" t="str">
            <v>Oriental Assurance Corporation</v>
          </cell>
        </row>
        <row r="2154">
          <cell r="A2154" t="str">
            <v>4681</v>
          </cell>
          <cell r="B2154" t="str">
            <v>Tokyo A Five Toku</v>
          </cell>
        </row>
        <row r="2155">
          <cell r="A2155" t="str">
            <v>4682</v>
          </cell>
          <cell r="B2155" t="str">
            <v>Golden 8 Fold Group Inc.</v>
          </cell>
        </row>
        <row r="2156">
          <cell r="A2156" t="str">
            <v>4683</v>
          </cell>
          <cell r="B2156" t="str">
            <v>Halla Engineering Co Ltd</v>
          </cell>
        </row>
        <row r="2157">
          <cell r="A2157" t="str">
            <v>4684</v>
          </cell>
          <cell r="B2157" t="str">
            <v>Donato A. Manabo RSM PETRON STATION</v>
          </cell>
        </row>
        <row r="2158">
          <cell r="A2158" t="str">
            <v>4685</v>
          </cell>
          <cell r="B2158" t="str">
            <v>Laurence Buce (Joyride)</v>
          </cell>
        </row>
        <row r="2159">
          <cell r="A2159" t="str">
            <v>4686</v>
          </cell>
          <cell r="B2159" t="str">
            <v>Hestia Engineering and Environmental Consulting Company</v>
          </cell>
        </row>
        <row r="2160">
          <cell r="A2160" t="str">
            <v>4687</v>
          </cell>
          <cell r="B2160" t="str">
            <v>Oliver V. Yabut</v>
          </cell>
        </row>
        <row r="2161">
          <cell r="A2161" t="str">
            <v>4688</v>
          </cell>
          <cell r="B2161" t="str">
            <v>Aldimel Car Express Rent a Car(Aldrich M. Palacios)</v>
          </cell>
        </row>
        <row r="2162">
          <cell r="A2162" t="str">
            <v>4689</v>
          </cell>
          <cell r="B2162" t="str">
            <v>PNR Arceo</v>
          </cell>
        </row>
        <row r="2163">
          <cell r="A2163" t="str">
            <v>4690</v>
          </cell>
          <cell r="B2163" t="str">
            <v>Emmanuel B. Laguio and Jennifer Emilie S. Laguio</v>
          </cell>
        </row>
        <row r="2164">
          <cell r="A2164" t="str">
            <v>4691</v>
          </cell>
          <cell r="B2164" t="str">
            <v>ACTSAFE Health &amp; Environmental Corp</v>
          </cell>
        </row>
        <row r="2165">
          <cell r="A2165" t="str">
            <v>4692</v>
          </cell>
          <cell r="B2165" t="str">
            <v>Juanito I. Canovas Jr.(Canovas Newspaper Delivery Services)</v>
          </cell>
        </row>
        <row r="2166">
          <cell r="A2166" t="str">
            <v>4693</v>
          </cell>
          <cell r="B2166" t="str">
            <v>Market Strategic Firm Inc.</v>
          </cell>
        </row>
        <row r="2167">
          <cell r="A2167" t="str">
            <v>4694</v>
          </cell>
          <cell r="B2167" t="str">
            <v>Abacus Global Technovisions, Inc(Alpa Hotel and Restaurant)</v>
          </cell>
        </row>
        <row r="2168">
          <cell r="A2168" t="str">
            <v>4695</v>
          </cell>
          <cell r="B2168" t="str">
            <v>Robinsons True Serve Hardware Philippines Inc.(TrueValue)</v>
          </cell>
        </row>
        <row r="2169">
          <cell r="A2169" t="str">
            <v>4696</v>
          </cell>
          <cell r="B2169" t="str">
            <v>Toyota Financial Services</v>
          </cell>
        </row>
        <row r="2170">
          <cell r="A2170" t="str">
            <v>4697</v>
          </cell>
          <cell r="B2170" t="str">
            <v>Pearl Hotel</v>
          </cell>
        </row>
        <row r="2171">
          <cell r="A2171" t="str">
            <v>4698</v>
          </cell>
          <cell r="B2171" t="str">
            <v>Shuttle Air Services Inc.</v>
          </cell>
        </row>
        <row r="2172">
          <cell r="A2172" t="str">
            <v>4699</v>
          </cell>
          <cell r="B2172" t="str">
            <v>LNL Development Corp.</v>
          </cell>
        </row>
        <row r="2173">
          <cell r="A2173" t="str">
            <v>4700</v>
          </cell>
          <cell r="B2173" t="str">
            <v>Homespoint Corporation</v>
          </cell>
        </row>
        <row r="2174">
          <cell r="A2174" t="str">
            <v>4701</v>
          </cell>
          <cell r="B2174" t="str">
            <v>BS Loreto Management and Development Corporation</v>
          </cell>
        </row>
        <row r="2175">
          <cell r="A2175" t="str">
            <v>4702</v>
          </cell>
          <cell r="B2175" t="str">
            <v>Moca Inc.(Café Felisa)</v>
          </cell>
        </row>
        <row r="2176">
          <cell r="A2176" t="str">
            <v>4703</v>
          </cell>
          <cell r="B2176" t="str">
            <v>Appetinne Foods Corp.</v>
          </cell>
        </row>
        <row r="2177">
          <cell r="A2177" t="str">
            <v>4704</v>
          </cell>
          <cell r="B2177" t="str">
            <v>Peacebird, Inc.</v>
          </cell>
        </row>
        <row r="2178">
          <cell r="A2178" t="str">
            <v>4705</v>
          </cell>
          <cell r="B2178" t="str">
            <v>Canlubang Golf and Country Club, Inc.</v>
          </cell>
        </row>
        <row r="2179">
          <cell r="A2179" t="str">
            <v>4706</v>
          </cell>
          <cell r="B2179" t="str">
            <v>Rosita Villarosa (Wok Inn Restaurant)</v>
          </cell>
        </row>
        <row r="2180">
          <cell r="A2180" t="str">
            <v>4707</v>
          </cell>
          <cell r="B2180" t="str">
            <v>Alba International Incorporated</v>
          </cell>
        </row>
        <row r="2181">
          <cell r="A2181" t="str">
            <v>4708</v>
          </cell>
          <cell r="B2181" t="str">
            <v>Tencav Corporation</v>
          </cell>
        </row>
        <row r="2182">
          <cell r="A2182" t="str">
            <v>4709</v>
          </cell>
          <cell r="B2182" t="str">
            <v>City of Dreams Manila Melco Resorts Leisure (PHP) Corporation</v>
          </cell>
        </row>
        <row r="2183">
          <cell r="A2183" t="str">
            <v>4710</v>
          </cell>
          <cell r="B2183" t="str">
            <v>Click-to-Print(CTP) High Street Corporation</v>
          </cell>
        </row>
        <row r="2184">
          <cell r="A2184" t="str">
            <v>4711</v>
          </cell>
          <cell r="B2184" t="str">
            <v>GGRI Food Services (Ma. Cecilia R. Ignacio)</v>
          </cell>
        </row>
        <row r="2185">
          <cell r="A2185" t="str">
            <v>4712</v>
          </cell>
          <cell r="B2185" t="str">
            <v>Teriyaki Boy Group Inc.(Yellow Cab Pizza Co.)</v>
          </cell>
        </row>
        <row r="2186">
          <cell r="A2186" t="str">
            <v>4713</v>
          </cell>
          <cell r="B2186" t="str">
            <v>Family Music Inc</v>
          </cell>
        </row>
        <row r="2187">
          <cell r="A2187" t="str">
            <v>4714</v>
          </cell>
          <cell r="B2187" t="str">
            <v>Victoria King Hotel and Restaurant</v>
          </cell>
        </row>
        <row r="2188">
          <cell r="A2188" t="str">
            <v>4715</v>
          </cell>
          <cell r="B2188" t="str">
            <v>GHD Pty Ltd</v>
          </cell>
        </row>
        <row r="2189">
          <cell r="A2189" t="str">
            <v>4716</v>
          </cell>
          <cell r="B2189" t="str">
            <v>R.C. Arquillo's Catering Services</v>
          </cell>
        </row>
        <row r="2190">
          <cell r="A2190" t="str">
            <v>4717</v>
          </cell>
          <cell r="B2190" t="str">
            <v>BarFusions Mobile Bar</v>
          </cell>
        </row>
        <row r="2191">
          <cell r="A2191" t="str">
            <v>4718</v>
          </cell>
          <cell r="B2191" t="str">
            <v>Xpressions Digital Media LTD Co.</v>
          </cell>
        </row>
        <row r="2192">
          <cell r="A2192" t="str">
            <v>4719</v>
          </cell>
          <cell r="B2192" t="str">
            <v>JonecoTech Marketing Corp</v>
          </cell>
        </row>
        <row r="2193">
          <cell r="A2193" t="str">
            <v>4720</v>
          </cell>
          <cell r="B2193" t="str">
            <v>Abenson ventures Inc.</v>
          </cell>
        </row>
        <row r="2194">
          <cell r="A2194" t="str">
            <v>4721</v>
          </cell>
          <cell r="B2194" t="str">
            <v>Trendcom IT and Software Soulutions Inc</v>
          </cell>
        </row>
        <row r="2195">
          <cell r="A2195" t="str">
            <v>4722</v>
          </cell>
          <cell r="B2195" t="str">
            <v>Mega-Rich Aircon &amp; Refrigeration Services</v>
          </cell>
        </row>
        <row r="2196">
          <cell r="A2196" t="str">
            <v>4723</v>
          </cell>
          <cell r="B2196" t="str">
            <v>ASM Basic Hub</v>
          </cell>
        </row>
        <row r="2197">
          <cell r="A2197" t="str">
            <v>4724</v>
          </cell>
          <cell r="B2197" t="str">
            <v>Genevieve Rebollos Z Oil Gasoline Station</v>
          </cell>
        </row>
        <row r="2198">
          <cell r="A2198" t="str">
            <v>4725</v>
          </cell>
          <cell r="B2198" t="str">
            <v>Makati Parking Authority Inc</v>
          </cell>
        </row>
        <row r="2199">
          <cell r="A2199" t="str">
            <v>4726</v>
          </cell>
          <cell r="B2199" t="str">
            <v>Alvin Clark Luy Drelex Gas Station</v>
          </cell>
        </row>
        <row r="2200">
          <cell r="A2200" t="str">
            <v>4727</v>
          </cell>
          <cell r="B2200" t="str">
            <v>OWL Foods Corporations Mano Mano Greenfield</v>
          </cell>
        </row>
        <row r="2201">
          <cell r="A2201" t="str">
            <v>4728</v>
          </cell>
          <cell r="B2201" t="str">
            <v>APL Bee Dau Inc Jolibee Dau </v>
          </cell>
        </row>
        <row r="2202">
          <cell r="A2202" t="str">
            <v>4729</v>
          </cell>
          <cell r="B2202" t="str">
            <v>WSNT Modiste Inc </v>
          </cell>
        </row>
        <row r="2203">
          <cell r="A2203" t="str">
            <v>4730</v>
          </cell>
          <cell r="B2203" t="str">
            <v>Petro Line Marketing Inc PETRON Super Station</v>
          </cell>
        </row>
        <row r="2204">
          <cell r="A2204" t="str">
            <v>4731</v>
          </cell>
          <cell r="B2204" t="str">
            <v>Winnie Y To Joyce Shell Service Station</v>
          </cell>
        </row>
        <row r="2205">
          <cell r="A2205" t="str">
            <v>4732</v>
          </cell>
          <cell r="B2205" t="str">
            <v>SMC Skyway Corporation</v>
          </cell>
        </row>
        <row r="2206">
          <cell r="A2206" t="str">
            <v>4733</v>
          </cell>
          <cell r="B2206" t="str">
            <v>AIRZA Fire Equipment and Safety Products Trading</v>
          </cell>
        </row>
        <row r="2207">
          <cell r="A2207" t="str">
            <v>4734</v>
          </cell>
          <cell r="B2207" t="str">
            <v>Duty Free Philippines Corporation</v>
          </cell>
        </row>
        <row r="2208">
          <cell r="A2208" t="str">
            <v>4735</v>
          </cell>
          <cell r="B2208" t="str">
            <v>Alfametro Marketing, Inc</v>
          </cell>
        </row>
        <row r="2209">
          <cell r="A2209" t="str">
            <v>4736</v>
          </cell>
          <cell r="B2209" t="str">
            <v>Century City Developmet Corporation</v>
          </cell>
        </row>
        <row r="2210">
          <cell r="A2210" t="str">
            <v>4737</v>
          </cell>
          <cell r="B2210" t="str">
            <v>Cleverso Foods Inc</v>
          </cell>
        </row>
        <row r="2211">
          <cell r="A2211" t="str">
            <v>4738</v>
          </cell>
          <cell r="B2211" t="str">
            <v>Gerhardus C. Aduana (Gertrudes Flowershop)</v>
          </cell>
        </row>
        <row r="2212">
          <cell r="A2212" t="str">
            <v>4739</v>
          </cell>
          <cell r="B2212" t="str">
            <v>Alden C. Seco (A. Seco Car Rental Services)</v>
          </cell>
        </row>
        <row r="2213">
          <cell r="A2213" t="str">
            <v>4740</v>
          </cell>
          <cell r="B2213" t="str">
            <v>Serendra Condominium Corporation</v>
          </cell>
        </row>
        <row r="2214">
          <cell r="A2214" t="str">
            <v>4741</v>
          </cell>
          <cell r="B2214" t="str">
            <v>Tony's Rubber Stamp Key Duplicate &amp; Dry Seal Maker</v>
          </cell>
        </row>
        <row r="2215">
          <cell r="A2215" t="str">
            <v>4742</v>
          </cell>
          <cell r="B2215" t="str">
            <v>Atty. Bernard T. Irao</v>
          </cell>
        </row>
        <row r="2216">
          <cell r="A2216" t="str">
            <v>4743</v>
          </cell>
          <cell r="B2216" t="str">
            <v>Mary Grace Foods Inc</v>
          </cell>
        </row>
        <row r="2217">
          <cell r="A2217" t="str">
            <v>4744</v>
          </cell>
          <cell r="B2217" t="str">
            <v>Atty. Gary Camitan Aure</v>
          </cell>
        </row>
        <row r="2218">
          <cell r="A2218" t="str">
            <v>4745</v>
          </cell>
          <cell r="B2218" t="str">
            <v>Choice Mart By NCCC</v>
          </cell>
        </row>
        <row r="2219">
          <cell r="A2219" t="str">
            <v>4746</v>
          </cell>
          <cell r="B2219" t="str">
            <v>Hijos Y Hija Ventures Inc.</v>
          </cell>
        </row>
        <row r="2220">
          <cell r="A2220" t="str">
            <v>4747</v>
          </cell>
          <cell r="B2220" t="str">
            <v>Tiger Infinity Ventures Corp.</v>
          </cell>
        </row>
        <row r="2221">
          <cell r="A2221" t="str">
            <v>4748</v>
          </cell>
          <cell r="B2221" t="str">
            <v>Bedarra Holdings, Inc.</v>
          </cell>
        </row>
        <row r="2222">
          <cell r="A2222" t="str">
            <v>4749</v>
          </cell>
          <cell r="B2222" t="str">
            <v>Mikuriya Foods Corporation</v>
          </cell>
        </row>
        <row r="2223">
          <cell r="A2223" t="str">
            <v>4750</v>
          </cell>
          <cell r="B2223" t="str">
            <v>Moving Minds Manpower Inc.</v>
          </cell>
        </row>
        <row r="2224">
          <cell r="A2224" t="str">
            <v>4751</v>
          </cell>
          <cell r="B2224" t="str">
            <v>Goodwill Rental &amp; General Services Corp</v>
          </cell>
        </row>
        <row r="2225">
          <cell r="A2225" t="str">
            <v>4752</v>
          </cell>
          <cell r="B2225" t="str">
            <v>The Big One Entertainment Inc</v>
          </cell>
        </row>
        <row r="2226">
          <cell r="A2226" t="str">
            <v>4753</v>
          </cell>
          <cell r="B2226" t="str">
            <v>Pan Asean Multi Resources Corp</v>
          </cell>
        </row>
        <row r="2227">
          <cell r="A2227" t="str">
            <v>4754</v>
          </cell>
          <cell r="B2227" t="str">
            <v>Nova Restaurant &amp; Services Inc.</v>
          </cell>
        </row>
        <row r="2228">
          <cell r="A2228" t="str">
            <v>4755</v>
          </cell>
          <cell r="B2228" t="str">
            <v>Ooedo Japanese Restaurant Inc,</v>
          </cell>
        </row>
        <row r="2229">
          <cell r="A2229" t="str">
            <v>4756</v>
          </cell>
          <cell r="B2229" t="str">
            <v>Narra Bistro and Café Inc.</v>
          </cell>
        </row>
        <row r="2230">
          <cell r="A2230" t="str">
            <v>4757</v>
          </cell>
          <cell r="B2230" t="str">
            <v>Mischell M. Alberto (Laguaja Restaurant)</v>
          </cell>
        </row>
        <row r="2231">
          <cell r="A2231" t="str">
            <v>4758</v>
          </cell>
          <cell r="B2231" t="str">
            <v>Busse Corporation</v>
          </cell>
        </row>
        <row r="2232">
          <cell r="A2232" t="str">
            <v>4759</v>
          </cell>
          <cell r="B2232" t="str">
            <v>Fasola Akihabara</v>
          </cell>
        </row>
        <row r="2233">
          <cell r="A2233" t="str">
            <v>4760</v>
          </cell>
          <cell r="B2233" t="str">
            <v>PA Express Food Ventures Inc.</v>
          </cell>
        </row>
        <row r="2234">
          <cell r="A2234" t="str">
            <v>4761</v>
          </cell>
          <cell r="B2234" t="str">
            <v>Jarn Cleaning Service(Jansen Markjohn O. Colico)</v>
          </cell>
        </row>
        <row r="2235">
          <cell r="A2235" t="str">
            <v>4762</v>
          </cell>
          <cell r="B2235" t="str">
            <v>Sanito Horizon Corporation</v>
          </cell>
        </row>
        <row r="2236">
          <cell r="A2236" t="str">
            <v>4763</v>
          </cell>
          <cell r="B2236" t="str">
            <v>Edward Cheong Diane Palace Hotel</v>
          </cell>
        </row>
        <row r="2237">
          <cell r="A2237" t="str">
            <v>4764</v>
          </cell>
          <cell r="B2237" t="str">
            <v>Francisco Ignacio Petron Xpressfill Station</v>
          </cell>
        </row>
        <row r="2238">
          <cell r="A2238" t="str">
            <v>4765</v>
          </cell>
          <cell r="B2238" t="str">
            <v>Local Boiler Fuel Services Inc</v>
          </cell>
        </row>
        <row r="2239">
          <cell r="A2239" t="str">
            <v>4766</v>
          </cell>
          <cell r="B2239" t="str">
            <v>Zamboanga City International Airport Public Utility Transport Service Multi Purpose Cooperative</v>
          </cell>
        </row>
        <row r="2240">
          <cell r="A2240" t="str">
            <v>4767</v>
          </cell>
          <cell r="B2240" t="str">
            <v>Lots For Less Warehouse Sale</v>
          </cell>
        </row>
        <row r="2241">
          <cell r="A2241" t="str">
            <v>4768</v>
          </cell>
          <cell r="B2241" t="str">
            <v>Davao Sublimation Apparel</v>
          </cell>
        </row>
        <row r="2242">
          <cell r="A2242" t="str">
            <v>4769</v>
          </cell>
          <cell r="B2242" t="str">
            <v>JN Computer Printing Services </v>
          </cell>
        </row>
        <row r="2243">
          <cell r="A2243" t="str">
            <v>4770</v>
          </cell>
          <cell r="B2243" t="str">
            <v>Marclavz Development Corp</v>
          </cell>
        </row>
        <row r="2244">
          <cell r="A2244" t="str">
            <v>4771</v>
          </cell>
          <cell r="B2244" t="str">
            <v>Northgate Hotel Ventures, Inc</v>
          </cell>
        </row>
        <row r="2245">
          <cell r="A2245" t="str">
            <v>4772</v>
          </cell>
          <cell r="B2245" t="str">
            <v>Enrico P. Padillo (Enrico Car Rental Services)</v>
          </cell>
        </row>
        <row r="2246">
          <cell r="A2246" t="str">
            <v>4773</v>
          </cell>
          <cell r="B2246" t="str">
            <v>Perez Shell Station Corporation</v>
          </cell>
        </row>
        <row r="2247">
          <cell r="A2247" t="str">
            <v>4774</v>
          </cell>
          <cell r="B2247" t="str">
            <v>Susan C. Murawski (Soomong Restaurant)</v>
          </cell>
        </row>
        <row r="2248">
          <cell r="A2248" t="str">
            <v>4775</v>
          </cell>
          <cell r="B2248" t="str">
            <v>Duckfat Ventures Inc.</v>
          </cell>
        </row>
        <row r="2249">
          <cell r="A2249" t="str">
            <v>4776</v>
          </cell>
          <cell r="B2249" t="str">
            <v>Pestex Pest Control Service Phil Corp.</v>
          </cell>
        </row>
        <row r="2250">
          <cell r="A2250" t="str">
            <v>4777</v>
          </cell>
          <cell r="B2250" t="str">
            <v>Tan 88 Convenience Store</v>
          </cell>
        </row>
        <row r="2251">
          <cell r="A2251" t="str">
            <v>4778</v>
          </cell>
          <cell r="B2251" t="str">
            <v>Weng Rubber Stamp Key Duplicate, Dry Seal</v>
          </cell>
        </row>
        <row r="2252">
          <cell r="A2252" t="str">
            <v>4779</v>
          </cell>
          <cell r="B2252" t="str">
            <v>Michael Abubakar Jr Azzura Gasoline Station</v>
          </cell>
        </row>
        <row r="2253">
          <cell r="A2253" t="str">
            <v>4780</v>
          </cell>
          <cell r="B2253" t="str">
            <v>Boss Inc</v>
          </cell>
        </row>
        <row r="2254">
          <cell r="A2254" t="str">
            <v>4781</v>
          </cell>
          <cell r="B2254" t="str">
            <v>Badsbrotel Suites</v>
          </cell>
        </row>
        <row r="2255">
          <cell r="A2255" t="str">
            <v>4782</v>
          </cell>
          <cell r="B2255" t="str">
            <v>Ryt Gas Station Corporation</v>
          </cell>
        </row>
        <row r="2256">
          <cell r="A2256" t="str">
            <v>4783</v>
          </cell>
          <cell r="B2256" t="str">
            <v>Aleson Shipping Lines Inc</v>
          </cell>
        </row>
        <row r="2257">
          <cell r="A2257" t="str">
            <v>4784</v>
          </cell>
          <cell r="B2257" t="str">
            <v>Gateway Motors Cebu Inc</v>
          </cell>
        </row>
        <row r="2258">
          <cell r="A2258" t="str">
            <v>4785</v>
          </cell>
          <cell r="B2258" t="str">
            <v>Vista View Nature Resort</v>
          </cell>
        </row>
        <row r="2259">
          <cell r="A2259" t="str">
            <v>4786</v>
          </cell>
          <cell r="B2259" t="str">
            <v>Blue Lotus Hotel Corp</v>
          </cell>
        </row>
        <row r="2260">
          <cell r="A2260" t="str">
            <v>4787</v>
          </cell>
          <cell r="B2260" t="str">
            <v>Pan Asia Hot Pot Inc.</v>
          </cell>
        </row>
        <row r="2261">
          <cell r="A2261" t="str">
            <v>4788</v>
          </cell>
          <cell r="B2261" t="str">
            <v>Abreeza Place Tower 1</v>
          </cell>
        </row>
        <row r="2262">
          <cell r="A2262" t="str">
            <v>4789</v>
          </cell>
          <cell r="B2262" t="str">
            <v>Al Rafie Anduhol</v>
          </cell>
        </row>
        <row r="2263">
          <cell r="A2263" t="str">
            <v>4790</v>
          </cell>
          <cell r="B2263" t="str">
            <v>J and  Z Medical Supply</v>
          </cell>
        </row>
        <row r="2264">
          <cell r="A2264" t="str">
            <v>4791</v>
          </cell>
          <cell r="B2264" t="str">
            <v>Starlink Internet Services Philippines, Inc.</v>
          </cell>
        </row>
        <row r="2265">
          <cell r="A2265" t="str">
            <v>4792</v>
          </cell>
          <cell r="B2265" t="str">
            <v>JCKG Water Distribution Services</v>
          </cell>
        </row>
        <row r="2266">
          <cell r="A2266" t="str">
            <v>4793</v>
          </cell>
          <cell r="B2266" t="str">
            <v>Dragonsworld Corp.</v>
          </cell>
        </row>
        <row r="2267">
          <cell r="A2267" t="str">
            <v>4794</v>
          </cell>
          <cell r="B2267" t="str">
            <v>Adriatico Consortium, Inc.</v>
          </cell>
        </row>
        <row r="2268">
          <cell r="A2268" t="str">
            <v>4795</v>
          </cell>
          <cell r="B2268" t="str">
            <v>Anson Supermarket, Inc</v>
          </cell>
        </row>
        <row r="2269">
          <cell r="A2269" t="str">
            <v>4796</v>
          </cell>
          <cell r="B2269" t="str">
            <v>Lola Nena's Pichi Pichi Inc</v>
          </cell>
        </row>
        <row r="2270">
          <cell r="A2270" t="str">
            <v>4797</v>
          </cell>
          <cell r="B2270" t="str">
            <v>Original Bakery</v>
          </cell>
        </row>
        <row r="2271">
          <cell r="A2271" t="str">
            <v>4798</v>
          </cell>
          <cell r="B2271" t="str">
            <v>JLA Notary Public Services</v>
          </cell>
        </row>
        <row r="2272">
          <cell r="A2272" t="str">
            <v>4799</v>
          </cell>
          <cell r="B2272" t="str">
            <v>Conscious Palate Food Group Inc</v>
          </cell>
        </row>
        <row r="2273">
          <cell r="A2273" t="str">
            <v>4800</v>
          </cell>
          <cell r="B2273" t="str">
            <v>Lyceum of the Philippines University, Inc</v>
          </cell>
        </row>
        <row r="2274">
          <cell r="A2274" t="str">
            <v>4801</v>
          </cell>
          <cell r="B2274" t="str">
            <v>Wilserv Multipurpose Cooperative</v>
          </cell>
        </row>
        <row r="2275">
          <cell r="A2275" t="str">
            <v>4802</v>
          </cell>
          <cell r="B2275" t="str">
            <v>Isetan</v>
          </cell>
        </row>
        <row r="2276">
          <cell r="A2276" t="str">
            <v>4803</v>
          </cell>
          <cell r="B2276" t="str">
            <v>JAL Plaza</v>
          </cell>
        </row>
        <row r="2277">
          <cell r="A2277" t="str">
            <v>4804</v>
          </cell>
          <cell r="B2277" t="str">
            <v>Garlic and Peppermill Food Company</v>
          </cell>
        </row>
        <row r="2278">
          <cell r="A2278" t="str">
            <v>4805</v>
          </cell>
          <cell r="B2278" t="str">
            <v>Toyota Mobility Solutions Philippines, Inc</v>
          </cell>
        </row>
        <row r="2279">
          <cell r="A2279" t="str">
            <v>4806</v>
          </cell>
          <cell r="B2279" t="str">
            <v>Hightower Langholdings, Inc.</v>
          </cell>
        </row>
        <row r="2280">
          <cell r="A2280" t="str">
            <v>4807</v>
          </cell>
          <cell r="B2280" t="str">
            <v>Diliman Realty &amp; Development Corp.</v>
          </cell>
        </row>
        <row r="2281">
          <cell r="A2281" t="str">
            <v>4808</v>
          </cell>
          <cell r="B2281" t="str">
            <v>Station Square East Corp</v>
          </cell>
        </row>
        <row r="2282">
          <cell r="A2282" t="str">
            <v>4809</v>
          </cell>
          <cell r="B2282" t="str">
            <v>Ellen S. Candungan</v>
          </cell>
        </row>
        <row r="2283">
          <cell r="A2283" t="str">
            <v>4810</v>
          </cell>
          <cell r="B2283" t="str">
            <v>Angel C. Ragrag</v>
          </cell>
        </row>
        <row r="2284">
          <cell r="A2284" t="str">
            <v>4811</v>
          </cell>
          <cell r="B2284" t="str">
            <v>Luciano Z. Amado Sr.</v>
          </cell>
        </row>
        <row r="2285">
          <cell r="A2285" t="str">
            <v>4812</v>
          </cell>
          <cell r="B2285" t="str">
            <v>Anwar Car Rental Services Anwar L. Abdul</v>
          </cell>
        </row>
        <row r="2286">
          <cell r="A2286" t="str">
            <v>4813</v>
          </cell>
          <cell r="B2286" t="str">
            <v>ACCSEPT Co., Ltd. Hiro Japanese Yakiniku Restaurant</v>
          </cell>
        </row>
        <row r="2287">
          <cell r="A2287" t="str">
            <v>4814</v>
          </cell>
          <cell r="B2287" t="str">
            <v>Sulu Peacekeeper's Multi-Purpose Cooperative</v>
          </cell>
        </row>
        <row r="2288">
          <cell r="A2288" t="str">
            <v>4815</v>
          </cell>
          <cell r="B2288" t="str">
            <v>Japan Premium Beef Inc. Wagyu Manila</v>
          </cell>
        </row>
        <row r="2289">
          <cell r="A2289" t="str">
            <v>4816</v>
          </cell>
          <cell r="B2289" t="str">
            <v>Seven Red Diamond Corp. Tanabe Japanese Restaurant</v>
          </cell>
        </row>
        <row r="2290">
          <cell r="A2290" t="str">
            <v>4817</v>
          </cell>
          <cell r="B2290" t="str">
            <v>Fivebravo Inc.</v>
          </cell>
        </row>
        <row r="2291">
          <cell r="A2291" t="str">
            <v>4818</v>
          </cell>
          <cell r="B2291" t="str">
            <v>Seafood de Zamboanga Restaurant Ryan B. Ng Thoe</v>
          </cell>
        </row>
        <row r="2292">
          <cell r="A2292" t="str">
            <v>4819</v>
          </cell>
          <cell r="B2292" t="str">
            <v>HJI Ezzel Gasoline Station Ezzel Q. Tan</v>
          </cell>
        </row>
        <row r="2293">
          <cell r="A2293" t="str">
            <v>4820</v>
          </cell>
          <cell r="B2293" t="str">
            <v>Kranzvil Enterprise Kathrina Marie Makabenta Villanueva</v>
          </cell>
        </row>
        <row r="2294">
          <cell r="A2294" t="str">
            <v>4821</v>
          </cell>
          <cell r="B2294" t="str">
            <v>Alpine Motors Corporation</v>
          </cell>
        </row>
        <row r="2295">
          <cell r="A2295" t="str">
            <v>4822</v>
          </cell>
          <cell r="B2295" t="str">
            <v>Abalone Specialty Seafood Restaurant</v>
          </cell>
        </row>
        <row r="2296">
          <cell r="A2296" t="str">
            <v>4823</v>
          </cell>
          <cell r="B2296" t="str">
            <v>Petroclean Corp. PHOENIX</v>
          </cell>
        </row>
        <row r="2297">
          <cell r="A2297" t="str">
            <v>4824</v>
          </cell>
          <cell r="B2297" t="str">
            <v>Casa-Mea Hotel John Kenneth O. Chiong</v>
          </cell>
        </row>
        <row r="2298">
          <cell r="A2298" t="str">
            <v>4825</v>
          </cell>
          <cell r="B2298" t="str">
            <v>Alfredoco Gasoline Station Corp. PETRON</v>
          </cell>
        </row>
        <row r="2299">
          <cell r="A2299" t="str">
            <v>4826</v>
          </cell>
          <cell r="B2299" t="str">
            <v>Patrisha Petron Service Station Troy B. Asugas</v>
          </cell>
        </row>
        <row r="2300">
          <cell r="A2300" t="str">
            <v>4827</v>
          </cell>
          <cell r="B2300" t="str">
            <v>MH F&amp;B Ideas Inc.</v>
          </cell>
        </row>
        <row r="2301">
          <cell r="A2301" t="str">
            <v>4828</v>
          </cell>
          <cell r="B2301" t="str">
            <v>Anyone Can Cook, Inc.</v>
          </cell>
        </row>
        <row r="2302">
          <cell r="A2302" t="str">
            <v>4829</v>
          </cell>
          <cell r="B2302" t="str">
            <v>Health Lab and Medical Services Inc.</v>
          </cell>
        </row>
        <row r="2303">
          <cell r="A2303" t="str">
            <v>4830</v>
          </cell>
          <cell r="B2303" t="str">
            <v>Presam Shell Service Center Archiomedes A. Cruz</v>
          </cell>
        </row>
        <row r="2304">
          <cell r="A2304" t="str">
            <v>4831</v>
          </cell>
          <cell r="B2304" t="str">
            <v>Stonehill Farms Cafeteria-Lechon House Evangeline A. Rambuyong</v>
          </cell>
        </row>
        <row r="2305">
          <cell r="A2305" t="str">
            <v>4832</v>
          </cell>
          <cell r="B2305" t="str">
            <v>Sailors.Tuna Grilling Station Vida Josefina D. Natividad</v>
          </cell>
        </row>
        <row r="2306">
          <cell r="A2306" t="str">
            <v>4833</v>
          </cell>
          <cell r="B2306" t="str">
            <v>SR Gas Depot &amp; Merchandising Inc.</v>
          </cell>
        </row>
        <row r="2307">
          <cell r="A2307" t="str">
            <v>4834</v>
          </cell>
          <cell r="B2307" t="str">
            <v>CFS Inc.</v>
          </cell>
        </row>
        <row r="2308">
          <cell r="A2308" t="str">
            <v>4835</v>
          </cell>
          <cell r="B2308" t="str">
            <v>Venus B. Magmado</v>
          </cell>
        </row>
        <row r="2309">
          <cell r="A2309" t="str">
            <v>4836</v>
          </cell>
          <cell r="B2309" t="str">
            <v>WSP Philippines Inc.</v>
          </cell>
        </row>
        <row r="2310">
          <cell r="A2310" t="str">
            <v>4837</v>
          </cell>
          <cell r="B2310" t="str">
            <v>Joeun Partners International, Inc.</v>
          </cell>
        </row>
        <row r="2311">
          <cell r="A2311" t="str">
            <v>4838</v>
          </cell>
          <cell r="B2311" t="str">
            <v>Pamela Trading</v>
          </cell>
        </row>
        <row r="2312">
          <cell r="A2312" t="str">
            <v>4839</v>
          </cell>
          <cell r="B2312" t="str">
            <v>Triumph Spaces Inc</v>
          </cell>
        </row>
        <row r="2313">
          <cell r="A2313" t="str">
            <v>4840</v>
          </cell>
          <cell r="B2313" t="str">
            <v>North Park Noodle House Inc.</v>
          </cell>
        </row>
        <row r="2314">
          <cell r="A2314" t="str">
            <v>4841</v>
          </cell>
          <cell r="B2314" t="str">
            <v>Brills Mrktg. Corp.</v>
          </cell>
        </row>
        <row r="2315">
          <cell r="A2315" t="str">
            <v>4842</v>
          </cell>
          <cell r="B2315" t="str">
            <v>Lucky Eats Food and Development Corp</v>
          </cell>
        </row>
        <row r="2316">
          <cell r="A2316" t="str">
            <v>4843</v>
          </cell>
          <cell r="B2316" t="str">
            <v>Upark Toplis Solutions Inc.</v>
          </cell>
        </row>
        <row r="2317">
          <cell r="A2317" t="str">
            <v>4844</v>
          </cell>
          <cell r="B2317" t="str">
            <v>Circuit Express Grill Corp. (Gerry's Restaurant And Bar)</v>
          </cell>
        </row>
        <row r="2318">
          <cell r="A2318" t="str">
            <v>4845</v>
          </cell>
          <cell r="B2318" t="str">
            <v>QASHIER</v>
          </cell>
        </row>
        <row r="2319">
          <cell r="A2319" t="str">
            <v>4846</v>
          </cell>
          <cell r="B2319" t="str">
            <v>PR TEAM WORLDWIDE INC.</v>
          </cell>
        </row>
        <row r="2320">
          <cell r="A2320" t="str">
            <v>4847</v>
          </cell>
          <cell r="B2320" t="str">
            <v>Monheim Global Inc</v>
          </cell>
        </row>
        <row r="2321">
          <cell r="A2321" t="str">
            <v>4848</v>
          </cell>
          <cell r="B2321" t="str">
            <v>Choiijen Food Hub</v>
          </cell>
        </row>
        <row r="2322">
          <cell r="A2322" t="str">
            <v>4849</v>
          </cell>
          <cell r="B2322" t="str">
            <v>Davao Unified Corporation</v>
          </cell>
        </row>
        <row r="2323">
          <cell r="A2323" t="str">
            <v>4850</v>
          </cell>
          <cell r="B2323" t="str">
            <v>Dynasty Management Development Corp.</v>
          </cell>
        </row>
        <row r="2324">
          <cell r="A2324" t="str">
            <v>4851</v>
          </cell>
          <cell r="B2324" t="str">
            <v>GH Express Corporation</v>
          </cell>
        </row>
        <row r="2325">
          <cell r="A2325" t="str">
            <v>4852</v>
          </cell>
          <cell r="B2325" t="str">
            <v>Japan Home Inc.</v>
          </cell>
        </row>
        <row r="2326">
          <cell r="A2326" t="str">
            <v>4853</v>
          </cell>
          <cell r="B2326" t="str">
            <v>M Lhuillier </v>
          </cell>
        </row>
        <row r="2327">
          <cell r="A2327" t="str">
            <v>4854</v>
          </cell>
          <cell r="B2327" t="str">
            <v>Unitop General  Merchandise, Inc.</v>
          </cell>
        </row>
        <row r="2328">
          <cell r="A2328" t="str">
            <v>4855</v>
          </cell>
          <cell r="B2328" t="str">
            <v>Yhang Photocopy Services</v>
          </cell>
        </row>
        <row r="2329">
          <cell r="A2329" t="str">
            <v>4856</v>
          </cell>
          <cell r="B2329" t="str">
            <v>Triple C Medical Trading Corp</v>
          </cell>
        </row>
        <row r="2330">
          <cell r="A2330" t="str">
            <v>4857</v>
          </cell>
          <cell r="B2330" t="str">
            <v>Babyspice Food Corporation</v>
          </cell>
        </row>
        <row r="2331">
          <cell r="A2331" t="str">
            <v>4858</v>
          </cell>
          <cell r="B2331" t="str">
            <v>Aces Documentation Services</v>
          </cell>
        </row>
        <row r="2332">
          <cell r="A2332" t="str">
            <v>4859</v>
          </cell>
          <cell r="B2332" t="str">
            <v>Atlantica Fire Safety Systems, Inc.</v>
          </cell>
        </row>
        <row r="2333">
          <cell r="A2333" t="str">
            <v>4860</v>
          </cell>
        </row>
        <row r="2334">
          <cell r="A2334" t="str">
            <v>4861</v>
          </cell>
        </row>
        <row r="2335">
          <cell r="A2335" t="str">
            <v>4862</v>
          </cell>
        </row>
        <row r="2336">
          <cell r="A2336" t="str">
            <v>4863</v>
          </cell>
        </row>
        <row r="2337">
          <cell r="A2337" t="str">
            <v>4864</v>
          </cell>
        </row>
        <row r="2338">
          <cell r="A2338" t="str">
            <v>4865</v>
          </cell>
        </row>
        <row r="2339">
          <cell r="A2339" t="str">
            <v>4866</v>
          </cell>
        </row>
        <row r="2340">
          <cell r="A2340" t="str">
            <v>4867</v>
          </cell>
        </row>
        <row r="2341">
          <cell r="A2341" t="str">
            <v>4868</v>
          </cell>
        </row>
        <row r="2342">
          <cell r="A2342" t="str">
            <v>4869</v>
          </cell>
        </row>
        <row r="2343">
          <cell r="A2343" t="str">
            <v>4870</v>
          </cell>
        </row>
        <row r="2344">
          <cell r="A2344" t="str">
            <v>4871</v>
          </cell>
        </row>
        <row r="2345">
          <cell r="A2345" t="str">
            <v>4872</v>
          </cell>
        </row>
        <row r="2346">
          <cell r="A2346" t="str">
            <v>4873</v>
          </cell>
        </row>
        <row r="2347">
          <cell r="A2347" t="str">
            <v>4874</v>
          </cell>
        </row>
        <row r="2348">
          <cell r="A2348" t="str">
            <v>4875</v>
          </cell>
        </row>
        <row r="2349">
          <cell r="A2349" t="str">
            <v>4876</v>
          </cell>
        </row>
        <row r="2350">
          <cell r="A2350" t="str">
            <v>4877</v>
          </cell>
        </row>
        <row r="2351">
          <cell r="A2351" t="str">
            <v>4878</v>
          </cell>
        </row>
        <row r="2352">
          <cell r="A2352" t="str">
            <v>4879</v>
          </cell>
        </row>
        <row r="2353">
          <cell r="A2353" t="str">
            <v>4880</v>
          </cell>
        </row>
        <row r="2354">
          <cell r="A2354" t="str">
            <v>4881</v>
          </cell>
        </row>
        <row r="2355">
          <cell r="A2355" t="str">
            <v>4882</v>
          </cell>
        </row>
        <row r="2356">
          <cell r="A2356" t="str">
            <v>4883</v>
          </cell>
        </row>
        <row r="2357">
          <cell r="A2357" t="str">
            <v>4884</v>
          </cell>
        </row>
        <row r="2358">
          <cell r="A2358" t="str">
            <v>4885</v>
          </cell>
        </row>
        <row r="2359">
          <cell r="A2359" t="str">
            <v>4886</v>
          </cell>
        </row>
        <row r="2360">
          <cell r="A2360" t="str">
            <v>4887</v>
          </cell>
        </row>
        <row r="2361">
          <cell r="A2361" t="str">
            <v>4888</v>
          </cell>
        </row>
        <row r="2362">
          <cell r="A2362" t="str">
            <v>4889</v>
          </cell>
        </row>
        <row r="2363">
          <cell r="A2363" t="str">
            <v>4890</v>
          </cell>
        </row>
        <row r="2364">
          <cell r="A2364" t="str">
            <v>4891</v>
          </cell>
        </row>
        <row r="2365">
          <cell r="A2365" t="str">
            <v>4892</v>
          </cell>
        </row>
        <row r="2366">
          <cell r="A2366" t="str">
            <v>4893</v>
          </cell>
        </row>
        <row r="2367">
          <cell r="A2367" t="str">
            <v>4894</v>
          </cell>
        </row>
        <row r="2368">
          <cell r="A2368" t="str">
            <v>4895</v>
          </cell>
        </row>
        <row r="2369">
          <cell r="A2369" t="str">
            <v>4896</v>
          </cell>
        </row>
        <row r="2370">
          <cell r="A2370" t="str">
            <v>4897</v>
          </cell>
        </row>
        <row r="2371">
          <cell r="A2371" t="str">
            <v>4898</v>
          </cell>
        </row>
        <row r="2372">
          <cell r="A2372" t="str">
            <v>4899</v>
          </cell>
        </row>
        <row r="2373">
          <cell r="A2373" t="str">
            <v>4900</v>
          </cell>
        </row>
        <row r="2374">
          <cell r="A2374" t="str">
            <v>4901</v>
          </cell>
        </row>
        <row r="2375">
          <cell r="A2375" t="str">
            <v>4902</v>
          </cell>
        </row>
        <row r="2376">
          <cell r="A2376" t="str">
            <v>4903</v>
          </cell>
        </row>
        <row r="2377">
          <cell r="A2377" t="str">
            <v>4904</v>
          </cell>
        </row>
        <row r="2378">
          <cell r="A2378" t="str">
            <v>4905</v>
          </cell>
        </row>
        <row r="2379">
          <cell r="A2379" t="str">
            <v>4906</v>
          </cell>
        </row>
        <row r="2380">
          <cell r="A2380" t="str">
            <v>4907</v>
          </cell>
        </row>
        <row r="2381">
          <cell r="A2381" t="str">
            <v>4908</v>
          </cell>
        </row>
        <row r="2382">
          <cell r="A2382" t="str">
            <v>4909</v>
          </cell>
        </row>
        <row r="2383">
          <cell r="A2383" t="str">
            <v>4910</v>
          </cell>
        </row>
        <row r="2384">
          <cell r="A2384" t="str">
            <v>4911</v>
          </cell>
        </row>
        <row r="2385">
          <cell r="A2385" t="str">
            <v>4912</v>
          </cell>
        </row>
        <row r="2386">
          <cell r="A2386" t="str">
            <v>4913</v>
          </cell>
        </row>
        <row r="2387">
          <cell r="A2387" t="str">
            <v>4914</v>
          </cell>
        </row>
        <row r="2388">
          <cell r="A2388" t="str">
            <v>4915</v>
          </cell>
        </row>
        <row r="2389">
          <cell r="A2389" t="str">
            <v>4916</v>
          </cell>
        </row>
        <row r="2390">
          <cell r="A2390" t="str">
            <v>4917</v>
          </cell>
        </row>
        <row r="2391">
          <cell r="A2391" t="str">
            <v>4918</v>
          </cell>
        </row>
        <row r="2392">
          <cell r="A2392" t="str">
            <v>4919</v>
          </cell>
        </row>
        <row r="2393">
          <cell r="A2393" t="str">
            <v>4920</v>
          </cell>
        </row>
        <row r="2394">
          <cell r="A2394" t="str">
            <v>4921</v>
          </cell>
        </row>
        <row r="2395">
          <cell r="A2395" t="str">
            <v>4922</v>
          </cell>
        </row>
        <row r="2396">
          <cell r="A2396" t="str">
            <v>4923</v>
          </cell>
        </row>
        <row r="2397">
          <cell r="A2397" t="str">
            <v>4924</v>
          </cell>
        </row>
        <row r="2398">
          <cell r="A2398" t="str">
            <v>4925</v>
          </cell>
        </row>
        <row r="2399">
          <cell r="A2399" t="str">
            <v>4926</v>
          </cell>
        </row>
        <row r="2400">
          <cell r="A2400" t="str">
            <v>4927</v>
          </cell>
        </row>
        <row r="2401">
          <cell r="A2401" t="str">
            <v>4928</v>
          </cell>
        </row>
        <row r="2402">
          <cell r="A2402" t="str">
            <v>4929</v>
          </cell>
        </row>
        <row r="2403">
          <cell r="A2403" t="str">
            <v>4930</v>
          </cell>
        </row>
        <row r="2404">
          <cell r="A2404" t="str">
            <v>4931</v>
          </cell>
        </row>
        <row r="2405">
          <cell r="A2405" t="str">
            <v>4932</v>
          </cell>
        </row>
        <row r="2406">
          <cell r="A2406" t="str">
            <v>4933</v>
          </cell>
        </row>
        <row r="2407">
          <cell r="A2407" t="str">
            <v>4934</v>
          </cell>
        </row>
        <row r="2408">
          <cell r="A2408" t="str">
            <v>4935</v>
          </cell>
        </row>
        <row r="2409">
          <cell r="A2409" t="str">
            <v>4936</v>
          </cell>
        </row>
        <row r="2410">
          <cell r="A2410" t="str">
            <v>4937</v>
          </cell>
        </row>
        <row r="2411">
          <cell r="A2411" t="str">
            <v>4938</v>
          </cell>
        </row>
        <row r="2412">
          <cell r="A2412" t="str">
            <v>4939</v>
          </cell>
        </row>
        <row r="2413">
          <cell r="A2413" t="str">
            <v>4940</v>
          </cell>
        </row>
        <row r="2414">
          <cell r="A2414" t="str">
            <v>4941</v>
          </cell>
        </row>
        <row r="2415">
          <cell r="A2415" t="str">
            <v>4942</v>
          </cell>
        </row>
        <row r="2416">
          <cell r="A2416" t="str">
            <v>4943</v>
          </cell>
        </row>
        <row r="2417">
          <cell r="A2417" t="str">
            <v>4944</v>
          </cell>
        </row>
        <row r="2418">
          <cell r="A2418" t="str">
            <v>4945</v>
          </cell>
        </row>
        <row r="2419">
          <cell r="A2419" t="str">
            <v>4946</v>
          </cell>
        </row>
        <row r="2420">
          <cell r="A2420" t="str">
            <v>4947</v>
          </cell>
        </row>
        <row r="2421">
          <cell r="A2421" t="str">
            <v>4948</v>
          </cell>
        </row>
        <row r="2422">
          <cell r="A2422" t="str">
            <v>4949</v>
          </cell>
        </row>
        <row r="2423">
          <cell r="A2423" t="str">
            <v>4950</v>
          </cell>
        </row>
        <row r="2424">
          <cell r="A2424" t="str">
            <v>4951</v>
          </cell>
        </row>
        <row r="2425">
          <cell r="A2425" t="str">
            <v>4952</v>
          </cell>
        </row>
        <row r="2426">
          <cell r="A2426" t="str">
            <v>4953</v>
          </cell>
        </row>
        <row r="2427">
          <cell r="A2427" t="str">
            <v>4954</v>
          </cell>
        </row>
        <row r="2428">
          <cell r="A2428" t="str">
            <v>4955</v>
          </cell>
        </row>
        <row r="2429">
          <cell r="A2429" t="str">
            <v>4956</v>
          </cell>
        </row>
        <row r="2430">
          <cell r="A2430" t="str">
            <v>4957</v>
          </cell>
        </row>
        <row r="2431">
          <cell r="A2431" t="str">
            <v>4958</v>
          </cell>
        </row>
        <row r="2432">
          <cell r="A2432" t="str">
            <v>4959</v>
          </cell>
        </row>
        <row r="2433">
          <cell r="A2433" t="str">
            <v>4960</v>
          </cell>
        </row>
        <row r="2434">
          <cell r="A2434" t="str">
            <v>4961</v>
          </cell>
        </row>
        <row r="2435">
          <cell r="A2435" t="str">
            <v>4962</v>
          </cell>
        </row>
        <row r="2436">
          <cell r="A2436" t="str">
            <v>4963</v>
          </cell>
        </row>
        <row r="2437">
          <cell r="A2437" t="str">
            <v>4964</v>
          </cell>
        </row>
        <row r="2438">
          <cell r="A2438" t="str">
            <v>4965</v>
          </cell>
        </row>
        <row r="2439">
          <cell r="A2439" t="str">
            <v>4966</v>
          </cell>
        </row>
        <row r="2440">
          <cell r="A2440" t="str">
            <v>4967</v>
          </cell>
        </row>
        <row r="2441">
          <cell r="A2441" t="str">
            <v>4968</v>
          </cell>
        </row>
        <row r="2442">
          <cell r="A2442" t="str">
            <v>4969</v>
          </cell>
        </row>
        <row r="2443">
          <cell r="A2443" t="str">
            <v>4970</v>
          </cell>
        </row>
        <row r="2444">
          <cell r="A2444" t="str">
            <v>4971</v>
          </cell>
        </row>
        <row r="2445">
          <cell r="A2445" t="str">
            <v>4972</v>
          </cell>
        </row>
        <row r="2446">
          <cell r="A2446" t="str">
            <v>4973</v>
          </cell>
        </row>
        <row r="2447">
          <cell r="A2447" t="str">
            <v>4974</v>
          </cell>
        </row>
        <row r="2448">
          <cell r="A2448" t="str">
            <v>4975</v>
          </cell>
        </row>
        <row r="2449">
          <cell r="A2449" t="str">
            <v>4976</v>
          </cell>
        </row>
        <row r="2450">
          <cell r="A2450" t="str">
            <v>4977</v>
          </cell>
        </row>
        <row r="2451">
          <cell r="A2451" t="str">
            <v>4978</v>
          </cell>
        </row>
        <row r="2452">
          <cell r="A2452" t="str">
            <v>4979</v>
          </cell>
        </row>
        <row r="2453">
          <cell r="A2453" t="str">
            <v>4980</v>
          </cell>
        </row>
        <row r="2454">
          <cell r="A2454" t="str">
            <v>4981</v>
          </cell>
        </row>
        <row r="2455">
          <cell r="A2455" t="str">
            <v>4982</v>
          </cell>
        </row>
        <row r="2456">
          <cell r="A2456" t="str">
            <v>4983</v>
          </cell>
        </row>
        <row r="2460">
          <cell r="A2460" t="str">
            <v>DEBTORS</v>
          </cell>
        </row>
        <row r="2461">
          <cell r="A2461" t="str">
            <v>Code</v>
          </cell>
          <cell r="B2461" t="str">
            <v>Name</v>
          </cell>
        </row>
        <row r="2462">
          <cell r="A2462" t="str">
            <v>7001</v>
          </cell>
          <cell r="B2462" t="str">
            <v>Metrolink Joint Venture</v>
          </cell>
        </row>
        <row r="2463">
          <cell r="A2463" t="str">
            <v>7002</v>
          </cell>
          <cell r="B2463" t="str">
            <v>Pacific Consultants International Asia Inc</v>
          </cell>
        </row>
        <row r="2464">
          <cell r="A2464" t="str">
            <v>7003</v>
          </cell>
          <cell r="B2464" t="str">
            <v>Department of Transportation and Communication</v>
          </cell>
        </row>
        <row r="2465">
          <cell r="A2465" t="str">
            <v>7004</v>
          </cell>
          <cell r="B2465" t="str">
            <v>Ibtikari Consultancy Ltd.</v>
          </cell>
        </row>
        <row r="2466">
          <cell r="A2466" t="str">
            <v>7005</v>
          </cell>
          <cell r="B2466" t="str">
            <v>TSPA Joint Venture</v>
          </cell>
        </row>
        <row r="2467">
          <cell r="A2467" t="str">
            <v>7006</v>
          </cell>
        </row>
        <row r="2468">
          <cell r="A2468" t="str">
            <v>7007</v>
          </cell>
          <cell r="B2468" t="str">
            <v>Philippine Ports Authority</v>
          </cell>
        </row>
        <row r="2469">
          <cell r="A2469" t="str">
            <v>7008</v>
          </cell>
          <cell r="B2469" t="str">
            <v>LRTA</v>
          </cell>
        </row>
        <row r="2470">
          <cell r="A2470" t="str">
            <v>7009</v>
          </cell>
          <cell r="B2470" t="str">
            <v>Cedco</v>
          </cell>
        </row>
        <row r="2471">
          <cell r="A2471" t="str">
            <v>7010</v>
          </cell>
          <cell r="B2471" t="str">
            <v>SBMA</v>
          </cell>
        </row>
        <row r="2472">
          <cell r="A2472" t="str">
            <v>7011</v>
          </cell>
          <cell r="B2472" t="str">
            <v>BCDA</v>
          </cell>
        </row>
        <row r="2473">
          <cell r="A2473" t="str">
            <v>7012</v>
          </cell>
          <cell r="B2473" t="str">
            <v>Department of Agriculture</v>
          </cell>
        </row>
        <row r="2474">
          <cell r="A2474" t="str">
            <v>7013</v>
          </cell>
          <cell r="B2474" t="str">
            <v>Provincial Govt of Lanao</v>
          </cell>
        </row>
        <row r="2475">
          <cell r="A2475" t="str">
            <v>7014</v>
          </cell>
          <cell r="B2475" t="str">
            <v>OC-KEI-NK JV</v>
          </cell>
        </row>
        <row r="2476">
          <cell r="A2476" t="str">
            <v>7015</v>
          </cell>
          <cell r="B2476" t="str">
            <v>Department of Public Works and Highways</v>
          </cell>
        </row>
        <row r="2477">
          <cell r="A2477" t="str">
            <v>7016</v>
          </cell>
          <cell r="B2477" t="str">
            <v>OC and Demcor Joint Venture</v>
          </cell>
        </row>
        <row r="2478">
          <cell r="A2478" t="str">
            <v>7017</v>
          </cell>
          <cell r="B2478" t="str">
            <v>Department of Transportation</v>
          </cell>
        </row>
        <row r="2479">
          <cell r="A2479" t="str">
            <v>7018</v>
          </cell>
        </row>
        <row r="2480">
          <cell r="A2480" t="str">
            <v>7019</v>
          </cell>
        </row>
        <row r="2481">
          <cell r="A2481" t="str">
            <v>7020</v>
          </cell>
        </row>
        <row r="2482">
          <cell r="A2482" t="str">
            <v>7021</v>
          </cell>
        </row>
        <row r="2483">
          <cell r="A2483" t="str">
            <v>7022</v>
          </cell>
        </row>
        <row r="2484">
          <cell r="A2484" t="str">
            <v>7023</v>
          </cell>
        </row>
        <row r="2485">
          <cell r="A2485" t="str">
            <v>7024</v>
          </cell>
        </row>
        <row r="2486">
          <cell r="A2486" t="str">
            <v>7025</v>
          </cell>
        </row>
      </sheetData>
      <sheetData sheetId="21"/>
      <sheetData sheetId="22"/>
      <sheetData sheetId="23"/>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8"/>
  <sheetViews>
    <sheetView tabSelected="1" topLeftCell="A8" workbookViewId="0">
      <selection activeCell="G16" sqref="G16"/>
    </sheetView>
  </sheetViews>
  <sheetFormatPr defaultColWidth="10.2857142857143" defaultRowHeight="12.75"/>
  <cols>
    <col min="1" max="1" width="7.57142857142857" style="107" customWidth="1"/>
    <col min="2" max="2" width="10.7142857142857" style="390" customWidth="1"/>
    <col min="3" max="3" width="39.1428571428571" style="108" customWidth="1"/>
    <col min="4" max="4" width="7.57142857142857" style="275" customWidth="1"/>
    <col min="5" max="5" width="26.4285714285714" style="103" customWidth="1"/>
    <col min="6" max="6" width="12.2857142857143" style="108" customWidth="1"/>
    <col min="7" max="7" width="8.42857142857143" style="108" customWidth="1" outlineLevel="1"/>
    <col min="8" max="8" width="9.28571428571429" style="108" customWidth="1" outlineLevel="1"/>
    <col min="9" max="9" width="26.2857142857143" style="108" customWidth="1"/>
    <col min="10" max="11" width="14.4285714285714" style="391" customWidth="1"/>
    <col min="12" max="12" width="15.2857142857143" style="391" customWidth="1"/>
    <col min="13" max="13" width="26.2857142857143" style="103" customWidth="1"/>
    <col min="14" max="14" width="23.4285714285714" style="103" customWidth="1"/>
    <col min="15" max="15" width="9.28571428571429" style="113" customWidth="1"/>
    <col min="16" max="16" width="9.28571428571429" style="107" customWidth="1"/>
    <col min="17" max="17" width="9.28571428571429" style="279" customWidth="1"/>
    <col min="18" max="18" width="9.28571428571429" style="103" customWidth="1"/>
    <col min="19" max="19" width="17.7142857142857" style="103" customWidth="1"/>
    <col min="20" max="20" width="14.7142857142857" style="103" customWidth="1"/>
    <col min="21" max="21" width="20.8571428571429" style="103" customWidth="1"/>
    <col min="22" max="22" width="14" style="103" customWidth="1"/>
    <col min="23" max="23" width="20.8571428571429" style="103" customWidth="1"/>
    <col min="24" max="16384" width="10.2857142857143" style="103"/>
  </cols>
  <sheetData>
    <row r="1" s="103" customFormat="1" ht="56.25" customHeight="1" spans="1:23">
      <c r="A1" s="115" t="s">
        <v>0</v>
      </c>
      <c r="B1" s="116"/>
      <c r="C1" s="392" t="s">
        <v>1</v>
      </c>
      <c r="D1" s="119"/>
      <c r="E1" s="119"/>
      <c r="F1" s="119"/>
      <c r="G1" s="119"/>
      <c r="H1" s="119"/>
      <c r="I1" s="120"/>
      <c r="J1" s="393"/>
      <c r="K1" s="393"/>
      <c r="L1" s="393"/>
      <c r="M1" s="124"/>
      <c r="N1" s="124"/>
      <c r="O1" s="138"/>
      <c r="P1" s="128"/>
      <c r="Q1" s="139"/>
      <c r="R1" s="124"/>
      <c r="S1" s="124"/>
      <c r="T1" s="124"/>
      <c r="U1" s="124"/>
      <c r="V1" s="124"/>
      <c r="W1" s="124"/>
    </row>
    <row r="2" s="104" customFormat="1" ht="15" customHeight="1" spans="1:23">
      <c r="A2" s="463" t="s">
        <v>2</v>
      </c>
      <c r="B2" s="464"/>
      <c r="C2" s="465" t="s">
        <v>3</v>
      </c>
      <c r="D2" s="133" t="s">
        <v>4</v>
      </c>
      <c r="E2" s="134"/>
      <c r="F2" s="135">
        <f>[4]cover!B17</f>
        <v>46120</v>
      </c>
      <c r="G2" s="146"/>
      <c r="H2" s="146"/>
      <c r="I2" s="146"/>
      <c r="J2" s="398"/>
      <c r="K2" s="466"/>
      <c r="L2" s="149" t="s">
        <v>5</v>
      </c>
      <c r="M2" s="150"/>
      <c r="N2" s="150"/>
      <c r="O2" s="138"/>
      <c r="P2" s="139"/>
      <c r="Q2" s="139"/>
      <c r="R2" s="150"/>
      <c r="S2" s="150"/>
      <c r="T2" s="150"/>
      <c r="U2" s="150"/>
      <c r="V2" s="150"/>
      <c r="W2" s="150"/>
    </row>
    <row r="3" s="104" customFormat="1" ht="15" customHeight="1" spans="1:23">
      <c r="A3" s="140" t="s">
        <v>6</v>
      </c>
      <c r="B3" s="141"/>
      <c r="C3" s="467" t="s">
        <v>7</v>
      </c>
      <c r="D3" s="467"/>
      <c r="E3" s="467"/>
      <c r="F3" s="145" t="s">
        <v>8</v>
      </c>
      <c r="G3" s="146"/>
      <c r="H3" s="146"/>
      <c r="I3" s="146"/>
      <c r="J3" s="398"/>
      <c r="K3" s="399"/>
      <c r="L3" s="149" t="s">
        <v>9</v>
      </c>
      <c r="M3" s="150"/>
      <c r="N3" s="150"/>
      <c r="O3" s="138"/>
      <c r="P3" s="139"/>
      <c r="Q3" s="139"/>
      <c r="R3" s="150"/>
      <c r="S3" s="150"/>
      <c r="T3" s="150"/>
      <c r="U3" s="150"/>
      <c r="V3" s="150"/>
      <c r="W3" s="150"/>
    </row>
    <row r="4" s="104" customFormat="1" ht="15" customHeight="1" spans="1:23">
      <c r="A4" s="152" t="s">
        <v>10</v>
      </c>
      <c r="B4" s="153"/>
      <c r="C4" s="400" t="s">
        <v>11</v>
      </c>
      <c r="D4" s="468"/>
      <c r="E4" s="468"/>
      <c r="F4" s="157" t="s">
        <v>12</v>
      </c>
      <c r="G4" s="146"/>
      <c r="H4" s="146"/>
      <c r="I4" s="146"/>
      <c r="J4" s="398"/>
      <c r="K4" s="402"/>
      <c r="L4" s="149" t="s">
        <v>13</v>
      </c>
      <c r="M4" s="150"/>
      <c r="N4" s="150"/>
      <c r="O4" s="138"/>
      <c r="P4" s="139"/>
      <c r="Q4" s="139"/>
      <c r="R4" s="150"/>
      <c r="S4" s="150"/>
      <c r="T4" s="150"/>
      <c r="U4" s="150"/>
      <c r="V4" s="150"/>
      <c r="W4" s="150"/>
    </row>
    <row r="5" s="103" customFormat="1" ht="15" customHeight="1" spans="1:23">
      <c r="A5" s="124"/>
      <c r="B5" s="159"/>
      <c r="C5" s="119"/>
      <c r="D5" s="469"/>
      <c r="E5" s="119"/>
      <c r="F5" s="119"/>
      <c r="G5" s="119"/>
      <c r="H5" s="119"/>
      <c r="I5" s="119"/>
      <c r="J5" s="393"/>
      <c r="K5" s="393"/>
      <c r="L5" s="393"/>
      <c r="M5" s="124"/>
      <c r="N5" s="124"/>
      <c r="O5" s="138"/>
      <c r="P5" s="128"/>
      <c r="Q5" s="139"/>
      <c r="R5" s="124"/>
      <c r="S5" s="124"/>
      <c r="T5" s="124"/>
      <c r="U5" s="124"/>
      <c r="V5" s="124"/>
      <c r="W5" s="124"/>
    </row>
    <row r="6" s="103" customFormat="1" ht="18.75" customHeight="1" spans="1:23">
      <c r="A6" s="161" t="s">
        <v>14</v>
      </c>
      <c r="B6" s="403" t="s">
        <v>15</v>
      </c>
      <c r="C6" s="163" t="s">
        <v>16</v>
      </c>
      <c r="D6" s="164" t="s">
        <v>17</v>
      </c>
      <c r="E6" s="165"/>
      <c r="F6" s="166" t="s">
        <v>18</v>
      </c>
      <c r="G6" s="167" t="s">
        <v>19</v>
      </c>
      <c r="H6" s="167" t="s">
        <v>20</v>
      </c>
      <c r="I6" s="163" t="s">
        <v>21</v>
      </c>
      <c r="J6" s="404" t="s">
        <v>22</v>
      </c>
      <c r="K6" s="404" t="s">
        <v>23</v>
      </c>
      <c r="L6" s="405" t="s">
        <v>24</v>
      </c>
      <c r="M6" s="406" t="s">
        <v>25</v>
      </c>
      <c r="N6" s="407" t="s">
        <v>26</v>
      </c>
      <c r="O6" s="138"/>
      <c r="P6" s="128"/>
      <c r="Q6" s="139"/>
      <c r="R6" s="124"/>
      <c r="S6" s="124"/>
      <c r="T6" s="124"/>
      <c r="U6" s="124"/>
      <c r="V6" s="124"/>
      <c r="W6" s="124"/>
    </row>
    <row r="7" s="103" customFormat="1" ht="18.75" customHeight="1" spans="1:23">
      <c r="A7" s="172" t="s">
        <v>27</v>
      </c>
      <c r="B7" s="408" t="s">
        <v>28</v>
      </c>
      <c r="C7" s="174" t="s">
        <v>29</v>
      </c>
      <c r="D7" s="175" t="s">
        <v>30</v>
      </c>
      <c r="E7" s="176"/>
      <c r="F7" s="174"/>
      <c r="G7" s="174"/>
      <c r="H7" s="177"/>
      <c r="I7" s="174" t="s">
        <v>31</v>
      </c>
      <c r="J7" s="409" t="s">
        <v>32</v>
      </c>
      <c r="K7" s="409" t="s">
        <v>33</v>
      </c>
      <c r="L7" s="410" t="s">
        <v>34</v>
      </c>
      <c r="M7" s="411" t="s">
        <v>35</v>
      </c>
      <c r="N7" s="412"/>
      <c r="O7" s="138"/>
      <c r="P7" s="128"/>
      <c r="Q7" s="211"/>
      <c r="R7" s="124"/>
      <c r="S7" s="124"/>
      <c r="T7" s="124"/>
      <c r="U7" s="124"/>
      <c r="V7" s="124"/>
      <c r="W7" s="124"/>
    </row>
    <row r="8" s="105" customFormat="1" ht="15" customHeight="1" spans="1:23">
      <c r="A8" s="182"/>
      <c r="B8" s="413" t="s">
        <v>36</v>
      </c>
      <c r="C8" s="184"/>
      <c r="D8" s="185"/>
      <c r="E8" s="414" t="s">
        <v>37</v>
      </c>
      <c r="F8" s="184"/>
      <c r="G8" s="184"/>
      <c r="H8" s="186"/>
      <c r="I8" s="187"/>
      <c r="J8" s="415"/>
      <c r="K8" s="415"/>
      <c r="L8" s="416" t="s">
        <v>38</v>
      </c>
      <c r="M8" s="417" t="s">
        <v>39</v>
      </c>
      <c r="N8" s="412"/>
      <c r="O8" s="192"/>
      <c r="P8" s="193"/>
      <c r="Q8" s="211"/>
      <c r="R8" s="194"/>
      <c r="S8" s="194"/>
      <c r="T8" s="194"/>
      <c r="U8" s="194"/>
      <c r="V8" s="194"/>
      <c r="W8" s="194"/>
    </row>
    <row r="9" s="104" customFormat="1" ht="24.95" customHeight="1" spans="1:23">
      <c r="A9" s="418" t="s">
        <v>40</v>
      </c>
      <c r="B9" s="419"/>
      <c r="C9" s="419"/>
      <c r="D9" s="419"/>
      <c r="E9" s="419"/>
      <c r="F9" s="419"/>
      <c r="G9" s="419"/>
      <c r="H9" s="419"/>
      <c r="I9" s="420"/>
      <c r="J9" s="421"/>
      <c r="K9" s="421"/>
      <c r="L9" s="422">
        <v>5090.44999999999</v>
      </c>
      <c r="M9" s="423"/>
      <c r="N9" s="412"/>
      <c r="O9" s="138"/>
      <c r="P9" s="139"/>
      <c r="Q9" s="211"/>
      <c r="R9" s="150"/>
      <c r="S9" s="150"/>
      <c r="T9" s="150"/>
      <c r="U9" s="150"/>
      <c r="V9" s="150"/>
      <c r="W9" s="150"/>
    </row>
    <row r="10" s="104" customFormat="1" ht="24.95" customHeight="1" spans="1:23">
      <c r="A10" s="424" t="s">
        <v>41</v>
      </c>
      <c r="B10" s="425"/>
      <c r="C10" s="425"/>
      <c r="D10" s="425"/>
      <c r="E10" s="425"/>
      <c r="F10" s="425"/>
      <c r="G10" s="425"/>
      <c r="H10" s="425"/>
      <c r="I10" s="426"/>
      <c r="J10" s="470">
        <f>(SUM(J11:J30))</f>
        <v>0</v>
      </c>
      <c r="K10" s="357">
        <f>(SUM(K11:K30))</f>
        <v>0</v>
      </c>
      <c r="L10" s="208">
        <f>+L9+J10-K10</f>
        <v>5090.44999999999</v>
      </c>
      <c r="M10" s="471"/>
      <c r="N10" s="430"/>
      <c r="O10" s="138" t="s">
        <v>42</v>
      </c>
      <c r="P10" s="139"/>
      <c r="Q10" s="211"/>
      <c r="R10" s="211" t="s">
        <v>43</v>
      </c>
      <c r="S10" s="211" t="s">
        <v>44</v>
      </c>
      <c r="T10" s="211" t="s">
        <v>45</v>
      </c>
      <c r="U10" s="139" t="s">
        <v>29</v>
      </c>
      <c r="V10" s="211" t="s">
        <v>45</v>
      </c>
      <c r="W10" s="139" t="s">
        <v>29</v>
      </c>
    </row>
    <row r="11" s="106" customFormat="1" ht="24" customHeight="1" spans="1:23">
      <c r="A11" s="438"/>
      <c r="B11" s="258"/>
      <c r="C11" s="241"/>
      <c r="D11" s="246"/>
      <c r="E11" s="439"/>
      <c r="F11" s="217"/>
      <c r="G11" s="247"/>
      <c r="H11" s="247"/>
      <c r="I11" s="472">
        <f>IFERROR(VLOOKUP(O11,[4]CREDITORS!A:B,2,0),"")</f>
        <v>0</v>
      </c>
      <c r="J11" s="434"/>
      <c r="K11" s="434"/>
      <c r="L11" s="436">
        <f>L9+J11-K11</f>
        <v>5090.44999999999</v>
      </c>
      <c r="M11" s="473"/>
      <c r="N11" s="248"/>
      <c r="O11" s="192"/>
      <c r="P11" s="211">
        <f t="shared" ref="P11:P31" si="0">(LEN(C11))</f>
        <v>0</v>
      </c>
      <c r="Q11" s="211"/>
      <c r="R11" s="226"/>
      <c r="S11" s="139"/>
      <c r="T11" s="139"/>
      <c r="U11" s="226"/>
      <c r="V11" s="226"/>
      <c r="W11" s="226"/>
    </row>
    <row r="12" s="106" customFormat="1" ht="24" customHeight="1" spans="1:23">
      <c r="A12" s="438"/>
      <c r="B12" s="258"/>
      <c r="C12" s="241"/>
      <c r="D12" s="246"/>
      <c r="E12" s="439"/>
      <c r="F12" s="217"/>
      <c r="G12" s="247"/>
      <c r="H12" s="247"/>
      <c r="I12" s="219">
        <f>IFERROR(VLOOKUP(O12,[4]CREDITORS!A:B,2,0),"")</f>
        <v>0</v>
      </c>
      <c r="J12" s="442"/>
      <c r="K12" s="444"/>
      <c r="L12" s="441">
        <f t="shared" ref="L12:L31" si="1">L11+J12-K12</f>
        <v>5090.44999999999</v>
      </c>
      <c r="M12" s="474"/>
      <c r="N12" s="248"/>
      <c r="O12" s="192"/>
      <c r="P12" s="211">
        <f t="shared" si="0"/>
        <v>0</v>
      </c>
      <c r="Q12" s="211"/>
      <c r="R12" s="226"/>
      <c r="S12" s="139"/>
      <c r="T12" s="139"/>
      <c r="U12" s="226"/>
      <c r="V12" s="226"/>
      <c r="W12" s="226"/>
    </row>
    <row r="13" s="106" customFormat="1" ht="24" customHeight="1" spans="1:23">
      <c r="A13" s="438"/>
      <c r="B13" s="258"/>
      <c r="C13" s="241"/>
      <c r="D13" s="246"/>
      <c r="E13" s="439"/>
      <c r="F13" s="217"/>
      <c r="G13" s="247"/>
      <c r="H13" s="247"/>
      <c r="I13" s="219">
        <f>IFERROR(VLOOKUP(O13,[4]CREDITORS!A:B,2,0),"")</f>
        <v>0</v>
      </c>
      <c r="J13" s="440"/>
      <c r="K13" s="444"/>
      <c r="L13" s="441">
        <f t="shared" si="1"/>
        <v>5090.44999999999</v>
      </c>
      <c r="M13" s="475"/>
      <c r="N13" s="248"/>
      <c r="O13" s="192"/>
      <c r="P13" s="211">
        <f t="shared" si="0"/>
        <v>0</v>
      </c>
      <c r="Q13" s="211"/>
      <c r="R13" s="226"/>
      <c r="S13" s="139"/>
      <c r="T13" s="139"/>
      <c r="U13" s="226"/>
      <c r="V13" s="226"/>
      <c r="W13" s="226"/>
    </row>
    <row r="14" s="106" customFormat="1" ht="24" customHeight="1" spans="1:23">
      <c r="A14" s="438"/>
      <c r="B14" s="258"/>
      <c r="C14" s="241"/>
      <c r="D14" s="246"/>
      <c r="E14" s="439"/>
      <c r="F14" s="217"/>
      <c r="G14" s="247"/>
      <c r="H14" s="247"/>
      <c r="I14" s="219">
        <f>IFERROR(VLOOKUP(O14,[4]CREDITORS!A:B,2,0),"")</f>
        <v>0</v>
      </c>
      <c r="J14" s="440"/>
      <c r="K14" s="444"/>
      <c r="L14" s="441">
        <f t="shared" si="1"/>
        <v>5090.44999999999</v>
      </c>
      <c r="M14" s="475"/>
      <c r="N14" s="248"/>
      <c r="O14" s="192"/>
      <c r="P14" s="211">
        <f t="shared" si="0"/>
        <v>0</v>
      </c>
      <c r="Q14" s="211"/>
      <c r="R14" s="226"/>
      <c r="S14" s="139"/>
      <c r="T14" s="139"/>
      <c r="U14" s="226"/>
      <c r="V14" s="226"/>
      <c r="W14" s="226"/>
    </row>
    <row r="15" s="106" customFormat="1" ht="24" customHeight="1" spans="1:23">
      <c r="A15" s="438"/>
      <c r="B15" s="258"/>
      <c r="C15" s="241"/>
      <c r="D15" s="246"/>
      <c r="E15" s="439"/>
      <c r="F15" s="217"/>
      <c r="G15" s="247"/>
      <c r="H15" s="247"/>
      <c r="I15" s="219">
        <f>IFERROR(VLOOKUP(O15,[4]CREDITORS!A:B,2,0),"")</f>
        <v>0</v>
      </c>
      <c r="J15" s="440"/>
      <c r="K15" s="444"/>
      <c r="L15" s="441">
        <f t="shared" si="1"/>
        <v>5090.44999999999</v>
      </c>
      <c r="M15" s="475"/>
      <c r="N15" s="248"/>
      <c r="O15" s="192"/>
      <c r="P15" s="211">
        <f t="shared" si="0"/>
        <v>0</v>
      </c>
      <c r="Q15" s="211"/>
      <c r="R15" s="226"/>
      <c r="S15" s="139"/>
      <c r="T15" s="139"/>
      <c r="U15" s="226"/>
      <c r="V15" s="226"/>
      <c r="W15" s="226"/>
    </row>
    <row r="16" s="106" customFormat="1" ht="24" customHeight="1" spans="1:23">
      <c r="A16" s="438"/>
      <c r="B16" s="258"/>
      <c r="C16" s="241"/>
      <c r="D16" s="246"/>
      <c r="E16" s="439"/>
      <c r="F16" s="217"/>
      <c r="G16" s="247"/>
      <c r="H16" s="247"/>
      <c r="I16" s="219">
        <f>IFERROR(VLOOKUP(O16,[4]CREDITORS!A:B,2,0),"")</f>
        <v>0</v>
      </c>
      <c r="J16" s="440"/>
      <c r="K16" s="444"/>
      <c r="L16" s="441">
        <f t="shared" si="1"/>
        <v>5090.44999999999</v>
      </c>
      <c r="M16" s="475"/>
      <c r="N16" s="248"/>
      <c r="O16" s="192"/>
      <c r="P16" s="211">
        <f t="shared" si="0"/>
        <v>0</v>
      </c>
      <c r="Q16" s="211"/>
      <c r="R16" s="226"/>
      <c r="S16" s="139"/>
      <c r="T16" s="139"/>
      <c r="U16" s="226"/>
      <c r="V16" s="226"/>
      <c r="W16" s="226"/>
    </row>
    <row r="17" s="106" customFormat="1" ht="24" customHeight="1" spans="1:23">
      <c r="A17" s="438"/>
      <c r="B17" s="258"/>
      <c r="C17" s="241"/>
      <c r="D17" s="246"/>
      <c r="E17" s="439"/>
      <c r="F17" s="217"/>
      <c r="G17" s="247"/>
      <c r="H17" s="247"/>
      <c r="I17" s="219">
        <f>IFERROR(VLOOKUP(O17,[4]CREDITORS!A:B,2,0),"")</f>
        <v>0</v>
      </c>
      <c r="J17" s="440"/>
      <c r="K17" s="444"/>
      <c r="L17" s="441">
        <f t="shared" si="1"/>
        <v>5090.44999999999</v>
      </c>
      <c r="M17" s="231"/>
      <c r="N17" s="476"/>
      <c r="O17" s="192"/>
      <c r="P17" s="211">
        <f t="shared" si="0"/>
        <v>0</v>
      </c>
      <c r="Q17" s="211"/>
      <c r="R17" s="226"/>
      <c r="S17" s="139"/>
      <c r="T17" s="139"/>
      <c r="U17" s="226"/>
      <c r="V17" s="226"/>
      <c r="W17" s="226"/>
    </row>
    <row r="18" s="106" customFormat="1" ht="24" customHeight="1" spans="1:23">
      <c r="A18" s="438"/>
      <c r="B18" s="258"/>
      <c r="C18" s="241"/>
      <c r="D18" s="246"/>
      <c r="E18" s="439"/>
      <c r="F18" s="217"/>
      <c r="G18" s="247"/>
      <c r="H18" s="247"/>
      <c r="I18" s="219">
        <f>IFERROR(VLOOKUP(O18,[4]CREDITORS!A:B,2,0),"")</f>
        <v>0</v>
      </c>
      <c r="J18" s="440"/>
      <c r="K18" s="440"/>
      <c r="L18" s="441">
        <f t="shared" si="1"/>
        <v>5090.44999999999</v>
      </c>
      <c r="M18" s="231"/>
      <c r="N18" s="476"/>
      <c r="O18" s="192"/>
      <c r="P18" s="211">
        <f t="shared" si="0"/>
        <v>0</v>
      </c>
      <c r="Q18" s="211"/>
      <c r="R18" s="226"/>
      <c r="S18" s="226"/>
      <c r="T18" s="226"/>
      <c r="U18" s="226"/>
      <c r="V18" s="226"/>
      <c r="W18" s="226"/>
    </row>
    <row r="19" s="106" customFormat="1" ht="24" customHeight="1" spans="1:23">
      <c r="A19" s="438"/>
      <c r="B19" s="213"/>
      <c r="C19" s="241"/>
      <c r="D19" s="447"/>
      <c r="E19" s="439"/>
      <c r="F19" s="477"/>
      <c r="G19" s="247"/>
      <c r="H19" s="247"/>
      <c r="I19" s="219">
        <f>IFERROR(VLOOKUP(O19,[4]CREDITORS!A:B,2,0),"")</f>
        <v>0</v>
      </c>
      <c r="J19" s="440"/>
      <c r="K19" s="440"/>
      <c r="L19" s="441">
        <f t="shared" si="1"/>
        <v>5090.44999999999</v>
      </c>
      <c r="M19" s="231"/>
      <c r="N19" s="476"/>
      <c r="O19" s="192"/>
      <c r="P19" s="211">
        <f t="shared" si="0"/>
        <v>0</v>
      </c>
      <c r="Q19" s="211"/>
      <c r="R19" s="226"/>
      <c r="S19" s="226"/>
      <c r="T19" s="226"/>
      <c r="U19" s="226"/>
      <c r="V19" s="226"/>
      <c r="W19" s="226"/>
    </row>
    <row r="20" s="106" customFormat="1" ht="24" customHeight="1" spans="1:23">
      <c r="A20" s="438"/>
      <c r="B20" s="213"/>
      <c r="C20" s="241"/>
      <c r="D20" s="447"/>
      <c r="E20" s="439"/>
      <c r="F20" s="217"/>
      <c r="G20" s="247"/>
      <c r="H20" s="247"/>
      <c r="I20" s="219">
        <f>IFERROR(VLOOKUP(O20,[4]CREDITORS!A:B,2,0),"")</f>
        <v>0</v>
      </c>
      <c r="J20" s="445"/>
      <c r="K20" s="445"/>
      <c r="L20" s="441">
        <f t="shared" si="1"/>
        <v>5090.44999999999</v>
      </c>
      <c r="M20" s="231"/>
      <c r="N20" s="476"/>
      <c r="O20" s="192"/>
      <c r="P20" s="211">
        <f t="shared" si="0"/>
        <v>0</v>
      </c>
      <c r="Q20" s="211"/>
      <c r="R20" s="226"/>
      <c r="S20" s="226"/>
      <c r="T20" s="226"/>
      <c r="U20" s="226"/>
      <c r="V20" s="226"/>
      <c r="W20" s="226"/>
    </row>
    <row r="21" s="106" customFormat="1" ht="24" customHeight="1" spans="1:23">
      <c r="A21" s="438"/>
      <c r="B21" s="213"/>
      <c r="C21" s="241"/>
      <c r="D21" s="447"/>
      <c r="E21" s="439"/>
      <c r="F21" s="217"/>
      <c r="G21" s="247"/>
      <c r="H21" s="247"/>
      <c r="I21" s="219">
        <f>IFERROR(VLOOKUP(O21,[4]CREDITORS!A:B,2,0),"")</f>
        <v>0</v>
      </c>
      <c r="J21" s="445"/>
      <c r="K21" s="445"/>
      <c r="L21" s="441">
        <f t="shared" si="1"/>
        <v>5090.44999999999</v>
      </c>
      <c r="M21" s="231"/>
      <c r="N21" s="476"/>
      <c r="O21" s="192"/>
      <c r="P21" s="211">
        <f t="shared" si="0"/>
        <v>0</v>
      </c>
      <c r="Q21" s="211"/>
      <c r="R21" s="226"/>
      <c r="S21" s="226"/>
      <c r="T21" s="226"/>
      <c r="U21" s="226"/>
      <c r="V21" s="226"/>
      <c r="W21" s="226"/>
    </row>
    <row r="22" s="106" customFormat="1" ht="24" customHeight="1" spans="1:23">
      <c r="A22" s="438"/>
      <c r="B22" s="213"/>
      <c r="C22" s="241"/>
      <c r="D22" s="447"/>
      <c r="E22" s="439"/>
      <c r="F22" s="217"/>
      <c r="G22" s="247"/>
      <c r="H22" s="247"/>
      <c r="I22" s="219">
        <f>IFERROR(VLOOKUP(O22,[4]CREDITORS!A:B,2,0),"")</f>
        <v>0</v>
      </c>
      <c r="J22" s="445"/>
      <c r="K22" s="445"/>
      <c r="L22" s="441">
        <f t="shared" si="1"/>
        <v>5090.44999999999</v>
      </c>
      <c r="M22" s="231"/>
      <c r="N22" s="248"/>
      <c r="O22" s="192"/>
      <c r="P22" s="211">
        <f t="shared" si="0"/>
        <v>0</v>
      </c>
      <c r="Q22" s="211"/>
      <c r="R22" s="226"/>
      <c r="S22" s="226"/>
      <c r="T22" s="226"/>
      <c r="U22" s="226"/>
      <c r="V22" s="226"/>
      <c r="W22" s="226"/>
    </row>
    <row r="23" s="106" customFormat="1" ht="24" customHeight="1" spans="1:23">
      <c r="A23" s="438"/>
      <c r="B23" s="213"/>
      <c r="C23" s="241"/>
      <c r="D23" s="447"/>
      <c r="E23" s="439"/>
      <c r="F23" s="217"/>
      <c r="G23" s="247"/>
      <c r="H23" s="247"/>
      <c r="I23" s="219">
        <f>IFERROR(VLOOKUP(O23,[4]CREDITORS!A:B,2,0),"")</f>
        <v>0</v>
      </c>
      <c r="J23" s="445"/>
      <c r="K23" s="445"/>
      <c r="L23" s="441">
        <f t="shared" si="1"/>
        <v>5090.44999999999</v>
      </c>
      <c r="M23" s="231"/>
      <c r="N23" s="476"/>
      <c r="O23" s="192"/>
      <c r="P23" s="211">
        <f t="shared" si="0"/>
        <v>0</v>
      </c>
      <c r="Q23" s="211"/>
      <c r="R23" s="226"/>
      <c r="S23" s="226"/>
      <c r="T23" s="226"/>
      <c r="U23" s="226"/>
      <c r="V23" s="226"/>
      <c r="W23" s="226"/>
    </row>
    <row r="24" s="106" customFormat="1" ht="24" customHeight="1" spans="1:23">
      <c r="A24" s="438"/>
      <c r="B24" s="213"/>
      <c r="C24" s="241"/>
      <c r="D24" s="447"/>
      <c r="E24" s="439"/>
      <c r="F24" s="217"/>
      <c r="G24" s="247"/>
      <c r="H24" s="247"/>
      <c r="I24" s="219">
        <f>IFERROR(VLOOKUP(O24,[4]CREDITORS!A:B,2,0),"")</f>
        <v>0</v>
      </c>
      <c r="J24" s="445"/>
      <c r="K24" s="445"/>
      <c r="L24" s="441">
        <f t="shared" si="1"/>
        <v>5090.44999999999</v>
      </c>
      <c r="M24" s="231"/>
      <c r="N24" s="476"/>
      <c r="O24" s="192"/>
      <c r="P24" s="211">
        <f t="shared" si="0"/>
        <v>0</v>
      </c>
      <c r="Q24" s="211"/>
      <c r="R24" s="226"/>
      <c r="S24" s="226"/>
      <c r="T24" s="226"/>
      <c r="U24" s="226"/>
      <c r="V24" s="226"/>
      <c r="W24" s="226"/>
    </row>
    <row r="25" s="106" customFormat="1" ht="24" customHeight="1" spans="1:23">
      <c r="A25" s="438"/>
      <c r="B25" s="213"/>
      <c r="C25" s="241"/>
      <c r="D25" s="447"/>
      <c r="E25" s="439"/>
      <c r="F25" s="217"/>
      <c r="G25" s="247"/>
      <c r="H25" s="247"/>
      <c r="I25" s="219">
        <f>IFERROR(VLOOKUP(O25,[4]CREDITORS!A:B,2,0),"")</f>
        <v>0</v>
      </c>
      <c r="J25" s="445"/>
      <c r="K25" s="445"/>
      <c r="L25" s="441">
        <f t="shared" si="1"/>
        <v>5090.44999999999</v>
      </c>
      <c r="M25" s="231"/>
      <c r="N25" s="476"/>
      <c r="O25" s="192"/>
      <c r="P25" s="211">
        <f t="shared" si="0"/>
        <v>0</v>
      </c>
      <c r="Q25" s="211"/>
      <c r="R25" s="226"/>
      <c r="S25" s="226"/>
      <c r="T25" s="226"/>
      <c r="U25" s="226"/>
      <c r="V25" s="226"/>
      <c r="W25" s="226"/>
    </row>
    <row r="26" s="106" customFormat="1" ht="24" customHeight="1" spans="1:23">
      <c r="A26" s="438"/>
      <c r="B26" s="213"/>
      <c r="C26" s="241"/>
      <c r="D26" s="447"/>
      <c r="E26" s="439"/>
      <c r="F26" s="477"/>
      <c r="G26" s="247"/>
      <c r="H26" s="247"/>
      <c r="I26" s="219">
        <f>IFERROR(VLOOKUP(O26,[4]CREDITORS!A:B,2,0),"")</f>
        <v>0</v>
      </c>
      <c r="J26" s="445"/>
      <c r="K26" s="445"/>
      <c r="L26" s="441">
        <f t="shared" si="1"/>
        <v>5090.44999999999</v>
      </c>
      <c r="M26" s="231"/>
      <c r="N26" s="476"/>
      <c r="O26" s="192"/>
      <c r="P26" s="211">
        <f t="shared" si="0"/>
        <v>0</v>
      </c>
      <c r="Q26" s="211"/>
      <c r="R26" s="226"/>
      <c r="S26" s="226"/>
      <c r="T26" s="226"/>
      <c r="U26" s="226"/>
      <c r="V26" s="226"/>
      <c r="W26" s="226"/>
    </row>
    <row r="27" s="106" customFormat="1" ht="24" customHeight="1" spans="1:23">
      <c r="A27" s="438"/>
      <c r="B27" s="213"/>
      <c r="C27" s="241"/>
      <c r="D27" s="447"/>
      <c r="E27" s="439"/>
      <c r="F27" s="477"/>
      <c r="G27" s="247"/>
      <c r="H27" s="247"/>
      <c r="I27" s="219">
        <f>IFERROR(VLOOKUP(O27,[4]CREDITORS!A:B,2,0),"")</f>
        <v>0</v>
      </c>
      <c r="J27" s="445"/>
      <c r="K27" s="445"/>
      <c r="L27" s="441">
        <f t="shared" si="1"/>
        <v>5090.44999999999</v>
      </c>
      <c r="M27" s="231"/>
      <c r="N27" s="476"/>
      <c r="O27" s="192"/>
      <c r="P27" s="211">
        <f t="shared" si="0"/>
        <v>0</v>
      </c>
      <c r="Q27" s="211"/>
      <c r="R27" s="226"/>
      <c r="S27" s="226"/>
      <c r="T27" s="226"/>
      <c r="U27" s="226"/>
      <c r="V27" s="226"/>
      <c r="W27" s="226"/>
    </row>
    <row r="28" s="106" customFormat="1" ht="24" customHeight="1" spans="1:23">
      <c r="A28" s="438"/>
      <c r="B28" s="213"/>
      <c r="C28" s="241"/>
      <c r="D28" s="447"/>
      <c r="E28" s="439"/>
      <c r="F28" s="477"/>
      <c r="G28" s="247"/>
      <c r="H28" s="247"/>
      <c r="I28" s="219">
        <f>IFERROR(VLOOKUP(O28,[4]CREDITORS!A:B,2,0),"")</f>
        <v>0</v>
      </c>
      <c r="J28" s="445"/>
      <c r="K28" s="445"/>
      <c r="L28" s="441">
        <f t="shared" si="1"/>
        <v>5090.44999999999</v>
      </c>
      <c r="M28" s="231"/>
      <c r="N28" s="476"/>
      <c r="O28" s="192"/>
      <c r="P28" s="211">
        <f t="shared" si="0"/>
        <v>0</v>
      </c>
      <c r="Q28" s="211"/>
      <c r="R28" s="226"/>
      <c r="S28" s="226"/>
      <c r="T28" s="226"/>
      <c r="U28" s="226"/>
      <c r="V28" s="226"/>
      <c r="W28" s="226"/>
    </row>
    <row r="29" s="106" customFormat="1" ht="24" customHeight="1" spans="1:23">
      <c r="A29" s="438"/>
      <c r="B29" s="213"/>
      <c r="C29" s="241"/>
      <c r="D29" s="447"/>
      <c r="E29" s="439"/>
      <c r="F29" s="477"/>
      <c r="G29" s="247"/>
      <c r="H29" s="247"/>
      <c r="I29" s="219">
        <f>IFERROR(VLOOKUP(O29,[4]CREDITORS!A:B,2,0),"")</f>
        <v>0</v>
      </c>
      <c r="J29" s="445"/>
      <c r="K29" s="445"/>
      <c r="L29" s="441">
        <f t="shared" si="1"/>
        <v>5090.44999999999</v>
      </c>
      <c r="M29" s="231"/>
      <c r="N29" s="476"/>
      <c r="O29" s="192"/>
      <c r="P29" s="211">
        <f t="shared" si="0"/>
        <v>0</v>
      </c>
      <c r="Q29" s="211"/>
      <c r="R29" s="226"/>
      <c r="S29" s="226"/>
      <c r="T29" s="226"/>
      <c r="U29" s="226"/>
      <c r="V29" s="226"/>
      <c r="W29" s="226"/>
    </row>
    <row r="30" s="106" customFormat="1" ht="24" customHeight="1" spans="1:23">
      <c r="A30" s="438"/>
      <c r="B30" s="213"/>
      <c r="C30" s="241"/>
      <c r="D30" s="447"/>
      <c r="E30" s="439"/>
      <c r="F30" s="477"/>
      <c r="G30" s="247"/>
      <c r="H30" s="247"/>
      <c r="I30" s="472" t="str">
        <f>IFERROR(VLOOKUP(O30,#REF!,2,0),"")</f>
        <v/>
      </c>
      <c r="J30" s="445"/>
      <c r="K30" s="445"/>
      <c r="L30" s="441">
        <f t="shared" si="1"/>
        <v>5090.44999999999</v>
      </c>
      <c r="M30" s="231"/>
      <c r="N30" s="476"/>
      <c r="O30" s="192"/>
      <c r="P30" s="211">
        <f t="shared" si="0"/>
        <v>0</v>
      </c>
      <c r="Q30" s="211"/>
      <c r="R30" s="226"/>
      <c r="S30" s="226"/>
      <c r="T30" s="226"/>
      <c r="U30" s="226"/>
      <c r="V30" s="226"/>
      <c r="W30" s="226"/>
    </row>
    <row r="31" s="106" customFormat="1" ht="24" customHeight="1" spans="1:23">
      <c r="A31" s="478"/>
      <c r="B31" s="454"/>
      <c r="C31" s="479"/>
      <c r="D31" s="480"/>
      <c r="E31" s="481"/>
      <c r="F31" s="482"/>
      <c r="G31" s="458"/>
      <c r="H31" s="458"/>
      <c r="I31" s="483" t="str">
        <f>IFERROR(VLOOKUP(O31,#REF!,2,0),"")</f>
        <v/>
      </c>
      <c r="J31" s="460"/>
      <c r="K31" s="484"/>
      <c r="L31" s="461">
        <f t="shared" si="1"/>
        <v>5090.44999999999</v>
      </c>
      <c r="M31" s="462"/>
      <c r="N31" s="485"/>
      <c r="O31" s="192"/>
      <c r="P31" s="211">
        <f t="shared" si="0"/>
        <v>0</v>
      </c>
      <c r="Q31" s="211"/>
      <c r="R31" s="226"/>
      <c r="S31" s="226"/>
      <c r="T31" s="226"/>
      <c r="U31" s="226"/>
      <c r="V31" s="226"/>
      <c r="W31" s="226"/>
    </row>
    <row r="32" s="103" customFormat="1" spans="1:23">
      <c r="A32" s="128"/>
      <c r="B32" s="486"/>
      <c r="C32" s="119"/>
      <c r="D32" s="469"/>
      <c r="E32" s="124"/>
      <c r="F32" s="119"/>
      <c r="G32" s="119"/>
      <c r="H32" s="119"/>
      <c r="I32" s="119"/>
      <c r="J32" s="393"/>
      <c r="K32" s="393"/>
      <c r="L32" s="393"/>
      <c r="M32" s="124"/>
      <c r="N32" s="124"/>
      <c r="O32" s="138"/>
      <c r="P32" s="128"/>
      <c r="Q32" s="139"/>
      <c r="R32" s="124"/>
      <c r="S32" s="124"/>
      <c r="T32" s="124"/>
      <c r="U32" s="124"/>
      <c r="V32" s="124"/>
      <c r="W32" s="124"/>
    </row>
    <row r="33" s="103" customFormat="1" spans="1:23">
      <c r="A33" s="128"/>
      <c r="B33" s="486"/>
      <c r="C33" s="119"/>
      <c r="D33" s="469"/>
      <c r="E33" s="124"/>
      <c r="F33" s="119"/>
      <c r="G33" s="119"/>
      <c r="H33" s="119"/>
      <c r="I33" s="119"/>
      <c r="J33" s="393"/>
      <c r="K33" s="393"/>
      <c r="L33" s="393"/>
      <c r="M33" s="124"/>
      <c r="N33" s="124"/>
      <c r="O33" s="138"/>
      <c r="P33" s="128"/>
      <c r="Q33" s="139"/>
      <c r="R33" s="124"/>
      <c r="S33" s="124"/>
      <c r="T33" s="124"/>
      <c r="U33" s="124"/>
      <c r="V33" s="124"/>
      <c r="W33" s="124"/>
    </row>
    <row r="34" s="103" customFormat="1" spans="1:23">
      <c r="A34" s="128"/>
      <c r="B34" s="486"/>
      <c r="C34" s="119"/>
      <c r="D34" s="469"/>
      <c r="E34" s="124"/>
      <c r="F34" s="119"/>
      <c r="G34" s="119"/>
      <c r="H34" s="119"/>
      <c r="I34" s="119"/>
      <c r="J34" s="393"/>
      <c r="K34" s="393"/>
      <c r="L34" s="393"/>
      <c r="M34" s="124"/>
      <c r="N34" s="124"/>
      <c r="O34" s="138"/>
      <c r="P34" s="128"/>
      <c r="Q34" s="139"/>
      <c r="R34" s="124"/>
      <c r="S34" s="124"/>
      <c r="T34" s="124"/>
      <c r="U34" s="124"/>
      <c r="V34" s="124"/>
      <c r="W34" s="124"/>
    </row>
    <row r="35" s="103" customFormat="1" spans="1:23">
      <c r="A35" s="128"/>
      <c r="B35" s="486"/>
      <c r="C35" s="119"/>
      <c r="D35" s="469"/>
      <c r="E35" s="124"/>
      <c r="F35" s="119"/>
      <c r="G35" s="119"/>
      <c r="H35" s="119"/>
      <c r="I35" s="119"/>
      <c r="J35" s="393"/>
      <c r="K35" s="393"/>
      <c r="L35" s="393"/>
      <c r="M35" s="124"/>
      <c r="N35" s="124"/>
      <c r="O35" s="138"/>
      <c r="P35" s="128"/>
      <c r="Q35" s="139"/>
      <c r="R35" s="124"/>
      <c r="S35" s="124"/>
      <c r="T35" s="124"/>
      <c r="U35" s="124"/>
      <c r="V35" s="124"/>
      <c r="W35" s="124"/>
    </row>
    <row r="36" s="103" customFormat="1" spans="1:23">
      <c r="A36" s="128"/>
      <c r="B36" s="486"/>
      <c r="C36" s="119"/>
      <c r="D36" s="469"/>
      <c r="E36" s="124"/>
      <c r="F36" s="119"/>
      <c r="G36" s="119"/>
      <c r="H36" s="119"/>
      <c r="I36" s="119"/>
      <c r="J36" s="393"/>
      <c r="K36" s="393"/>
      <c r="L36" s="393"/>
      <c r="M36" s="124"/>
      <c r="N36" s="124"/>
      <c r="O36" s="138"/>
      <c r="P36" s="128"/>
      <c r="Q36" s="139"/>
      <c r="R36" s="124"/>
      <c r="S36" s="124"/>
      <c r="T36" s="124"/>
      <c r="U36" s="124"/>
      <c r="V36" s="124"/>
      <c r="W36" s="124"/>
    </row>
    <row r="37" s="103" customFormat="1" spans="1:23">
      <c r="A37" s="128"/>
      <c r="B37" s="486"/>
      <c r="C37" s="119"/>
      <c r="D37" s="469"/>
      <c r="E37" s="124"/>
      <c r="F37" s="119"/>
      <c r="G37" s="119"/>
      <c r="H37" s="119"/>
      <c r="I37" s="119"/>
      <c r="J37" s="393"/>
      <c r="K37" s="393"/>
      <c r="L37" s="393"/>
      <c r="M37" s="124"/>
      <c r="N37" s="124"/>
      <c r="O37" s="138"/>
      <c r="P37" s="128"/>
      <c r="Q37" s="139"/>
      <c r="R37" s="124"/>
      <c r="S37" s="124"/>
      <c r="T37" s="124"/>
      <c r="U37" s="124"/>
      <c r="V37" s="124"/>
      <c r="W37" s="124"/>
    </row>
    <row r="38" s="103" customFormat="1" spans="1:23">
      <c r="A38" s="128"/>
      <c r="B38" s="486"/>
      <c r="C38" s="119"/>
      <c r="D38" s="469"/>
      <c r="E38" s="124"/>
      <c r="F38" s="119"/>
      <c r="G38" s="119"/>
      <c r="H38" s="119"/>
      <c r="I38" s="119"/>
      <c r="J38" s="393"/>
      <c r="K38" s="393"/>
      <c r="L38" s="393"/>
      <c r="M38" s="124"/>
      <c r="N38" s="124"/>
      <c r="O38" s="138"/>
      <c r="P38" s="128"/>
      <c r="Q38" s="139"/>
      <c r="R38" s="124"/>
      <c r="S38" s="124"/>
      <c r="T38" s="124"/>
      <c r="U38" s="124"/>
      <c r="V38" s="124"/>
      <c r="W38" s="124"/>
    </row>
  </sheetData>
  <mergeCells count="17">
    <mergeCell ref="A1:B1"/>
    <mergeCell ref="C1:F1"/>
    <mergeCell ref="A2:B2"/>
    <mergeCell ref="D2:E2"/>
    <mergeCell ref="A3:B3"/>
    <mergeCell ref="C3:E3"/>
    <mergeCell ref="A4:B4"/>
    <mergeCell ref="C4:E4"/>
    <mergeCell ref="D6:E6"/>
    <mergeCell ref="D7:E7"/>
    <mergeCell ref="A9:I9"/>
    <mergeCell ref="A10:I10"/>
    <mergeCell ref="G6:G7"/>
    <mergeCell ref="H6:H7"/>
    <mergeCell ref="M8:M10"/>
    <mergeCell ref="N6:N10"/>
    <mergeCell ref="Q7:Q10"/>
  </mergeCells>
  <conditionalFormatting sqref="P$1:P$1048576">
    <cfRule type="cellIs" dxfId="0" priority="1" operator="greaterThan">
      <formula>42</formula>
    </cfRule>
  </conditionalFormatting>
  <dataValidations count="3">
    <dataValidation allowBlank="1" showInputMessage="1" showErrorMessage="1" sqref="D11:D31"/>
    <dataValidation type="list" allowBlank="1" showInputMessage="1" showErrorMessage="1" sqref="M11:M31">
      <formula1>'CashBook (US$bank)'!LocalCOA</formula1>
    </dataValidation>
    <dataValidation type="list" allowBlank="1" showInputMessage="1" showErrorMessage="1" sqref="N11:N31">
      <formula1>DDList</formula1>
    </dataValidation>
  </dataValidation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38"/>
  <sheetViews>
    <sheetView topLeftCell="A32" workbookViewId="0">
      <selection activeCell="D50" sqref="D50:D51"/>
    </sheetView>
  </sheetViews>
  <sheetFormatPr defaultColWidth="10.2857142857143" defaultRowHeight="12.75"/>
  <cols>
    <col min="1" max="1" width="7.57142857142857" style="107" customWidth="1"/>
    <col min="2" max="2" width="10.7142857142857" style="390" customWidth="1"/>
    <col min="3" max="3" width="39.2857142857143" style="108" customWidth="1"/>
    <col min="4" max="4" width="7.57142857142857" style="107" customWidth="1"/>
    <col min="5" max="5" width="26.4285714285714" style="103" customWidth="1"/>
    <col min="6" max="6" width="12.4285714285714" style="108" customWidth="1"/>
    <col min="7" max="7" width="8.42857142857143" style="108" customWidth="1" outlineLevel="2"/>
    <col min="8" max="8" width="9.28571428571429" style="108" customWidth="1" outlineLevel="2"/>
    <col min="9" max="9" width="26.4285714285714" style="108" customWidth="1"/>
    <col min="10" max="11" width="14.4285714285714" style="391" customWidth="1"/>
    <col min="12" max="12" width="15.2857142857143" style="391" customWidth="1"/>
    <col min="13" max="13" width="26.4285714285714" style="103" customWidth="1"/>
    <col min="14" max="14" width="25.5714285714286" style="103" customWidth="1"/>
    <col min="15" max="15" width="9.28571428571429" style="113" customWidth="1"/>
    <col min="16" max="16" width="9.28571428571429" style="107" customWidth="1"/>
    <col min="17" max="17" width="11" style="107" customWidth="1"/>
    <col min="18" max="18" width="27.1428571428571" style="107" customWidth="1"/>
    <col min="19" max="19" width="27" style="107" customWidth="1"/>
    <col min="20" max="20" width="12.8571428571429" style="103" customWidth="1"/>
    <col min="21" max="21" width="27" style="103" customWidth="1"/>
    <col min="22" max="22" width="12.8571428571429" style="103" customWidth="1"/>
    <col min="23" max="16384" width="10.2857142857143" style="103"/>
  </cols>
  <sheetData>
    <row r="1" s="103" customFormat="1" ht="56.25" customHeight="1" spans="1:22">
      <c r="A1" s="115" t="s">
        <v>0</v>
      </c>
      <c r="B1" s="116"/>
      <c r="C1" s="392" t="s">
        <v>1</v>
      </c>
      <c r="D1" s="119"/>
      <c r="E1" s="119"/>
      <c r="F1" s="119"/>
      <c r="G1" s="119"/>
      <c r="H1" s="119"/>
      <c r="I1" s="120"/>
      <c r="J1" s="393"/>
      <c r="K1" s="393"/>
      <c r="L1" s="393"/>
      <c r="M1" s="124"/>
      <c r="N1" s="124"/>
      <c r="O1" s="138"/>
      <c r="P1" s="128"/>
      <c r="Q1" s="128"/>
      <c r="R1" s="128"/>
      <c r="S1" s="128"/>
      <c r="T1" s="124"/>
      <c r="U1" s="124"/>
      <c r="V1" s="124"/>
    </row>
    <row r="2" s="103" customFormat="1" ht="15" customHeight="1" spans="1:22">
      <c r="A2" s="130" t="s">
        <v>2</v>
      </c>
      <c r="B2" s="131"/>
      <c r="C2" s="132" t="s">
        <v>3</v>
      </c>
      <c r="D2" s="133" t="s">
        <v>46</v>
      </c>
      <c r="E2" s="394"/>
      <c r="F2" s="135">
        <f>[4]cover!B17</f>
        <v>46120</v>
      </c>
      <c r="G2" s="119"/>
      <c r="H2" s="119"/>
      <c r="I2" s="119"/>
      <c r="J2" s="393"/>
      <c r="K2" s="395"/>
      <c r="L2" s="137" t="s">
        <v>5</v>
      </c>
      <c r="M2" s="124"/>
      <c r="N2" s="150"/>
      <c r="O2" s="138"/>
      <c r="P2" s="139"/>
      <c r="Q2" s="128"/>
      <c r="R2" s="128"/>
      <c r="S2" s="128"/>
      <c r="T2" s="124"/>
      <c r="U2" s="124"/>
      <c r="V2" s="124"/>
    </row>
    <row r="3" s="104" customFormat="1" ht="15" customHeight="1" spans="1:22">
      <c r="A3" s="140" t="s">
        <v>6</v>
      </c>
      <c r="B3" s="141"/>
      <c r="C3" s="396" t="s">
        <v>7</v>
      </c>
      <c r="D3" s="396"/>
      <c r="E3" s="396"/>
      <c r="F3" s="397" t="s">
        <v>8</v>
      </c>
      <c r="G3" s="146"/>
      <c r="H3" s="146"/>
      <c r="I3" s="146"/>
      <c r="J3" s="398"/>
      <c r="K3" s="399"/>
      <c r="L3" s="149" t="s">
        <v>9</v>
      </c>
      <c r="M3" s="150"/>
      <c r="N3" s="150"/>
      <c r="O3" s="138"/>
      <c r="P3" s="139"/>
      <c r="Q3" s="139"/>
      <c r="R3" s="139"/>
      <c r="S3" s="139"/>
      <c r="T3" s="150"/>
      <c r="U3" s="150"/>
      <c r="V3" s="150"/>
    </row>
    <row r="4" s="104" customFormat="1" ht="15" customHeight="1" spans="1:22">
      <c r="A4" s="152" t="s">
        <v>10</v>
      </c>
      <c r="B4" s="153"/>
      <c r="C4" s="400" t="s">
        <v>47</v>
      </c>
      <c r="D4" s="401"/>
      <c r="E4" s="400"/>
      <c r="F4" s="157" t="s">
        <v>48</v>
      </c>
      <c r="G4" s="146"/>
      <c r="H4" s="146"/>
      <c r="I4" s="146"/>
      <c r="J4" s="398"/>
      <c r="K4" s="402"/>
      <c r="L4" s="149" t="s">
        <v>13</v>
      </c>
      <c r="M4" s="150"/>
      <c r="N4" s="150"/>
      <c r="O4" s="138"/>
      <c r="P4" s="139"/>
      <c r="Q4" s="139"/>
      <c r="R4" s="139"/>
      <c r="S4" s="139"/>
      <c r="T4" s="150"/>
      <c r="U4" s="150"/>
      <c r="V4" s="150"/>
    </row>
    <row r="5" s="103" customFormat="1" ht="15" customHeight="1" spans="1:22">
      <c r="A5" s="124"/>
      <c r="B5" s="159"/>
      <c r="C5" s="119"/>
      <c r="D5" s="128"/>
      <c r="E5" s="119"/>
      <c r="F5" s="119"/>
      <c r="G5" s="119"/>
      <c r="H5" s="119"/>
      <c r="I5" s="119"/>
      <c r="J5" s="393"/>
      <c r="K5" s="393"/>
      <c r="L5" s="393"/>
      <c r="M5" s="124"/>
      <c r="N5" s="124"/>
      <c r="O5" s="138"/>
      <c r="P5" s="128"/>
      <c r="Q5" s="128"/>
      <c r="R5" s="128"/>
      <c r="S5" s="128"/>
      <c r="T5" s="124"/>
      <c r="U5" s="124"/>
      <c r="V5" s="124"/>
    </row>
    <row r="6" s="103" customFormat="1" ht="18.75" customHeight="1" spans="1:22">
      <c r="A6" s="161" t="s">
        <v>14</v>
      </c>
      <c r="B6" s="403" t="s">
        <v>15</v>
      </c>
      <c r="C6" s="163" t="s">
        <v>16</v>
      </c>
      <c r="D6" s="164" t="s">
        <v>17</v>
      </c>
      <c r="E6" s="165"/>
      <c r="F6" s="166" t="s">
        <v>18</v>
      </c>
      <c r="G6" s="167" t="s">
        <v>19</v>
      </c>
      <c r="H6" s="167" t="s">
        <v>20</v>
      </c>
      <c r="I6" s="163" t="s">
        <v>21</v>
      </c>
      <c r="J6" s="404" t="s">
        <v>22</v>
      </c>
      <c r="K6" s="404" t="s">
        <v>23</v>
      </c>
      <c r="L6" s="405" t="s">
        <v>24</v>
      </c>
      <c r="M6" s="406" t="s">
        <v>25</v>
      </c>
      <c r="N6" s="407" t="s">
        <v>26</v>
      </c>
      <c r="O6" s="138"/>
      <c r="P6" s="128"/>
      <c r="Q6" s="128"/>
      <c r="R6" s="128"/>
      <c r="S6" s="128"/>
      <c r="T6" s="124"/>
      <c r="U6" s="124"/>
      <c r="V6" s="124"/>
    </row>
    <row r="7" s="103" customFormat="1" ht="18.75" customHeight="1" spans="1:22">
      <c r="A7" s="172" t="s">
        <v>27</v>
      </c>
      <c r="B7" s="408" t="s">
        <v>28</v>
      </c>
      <c r="C7" s="174" t="s">
        <v>29</v>
      </c>
      <c r="D7" s="175" t="s">
        <v>30</v>
      </c>
      <c r="E7" s="176"/>
      <c r="F7" s="174"/>
      <c r="G7" s="174"/>
      <c r="H7" s="177"/>
      <c r="I7" s="174" t="s">
        <v>31</v>
      </c>
      <c r="J7" s="409" t="s">
        <v>32</v>
      </c>
      <c r="K7" s="409" t="s">
        <v>33</v>
      </c>
      <c r="L7" s="410" t="s">
        <v>34</v>
      </c>
      <c r="M7" s="411" t="s">
        <v>35</v>
      </c>
      <c r="N7" s="412"/>
      <c r="O7" s="138"/>
      <c r="P7" s="128"/>
      <c r="Q7" s="128"/>
      <c r="R7" s="128"/>
      <c r="S7" s="128"/>
      <c r="T7" s="124"/>
      <c r="U7" s="124"/>
      <c r="V7" s="124"/>
    </row>
    <row r="8" s="105" customFormat="1" ht="15" customHeight="1" spans="1:22">
      <c r="A8" s="182"/>
      <c r="B8" s="413" t="s">
        <v>36</v>
      </c>
      <c r="C8" s="184"/>
      <c r="D8" s="183"/>
      <c r="E8" s="414" t="s">
        <v>37</v>
      </c>
      <c r="F8" s="184"/>
      <c r="G8" s="184"/>
      <c r="H8" s="186"/>
      <c r="I8" s="187"/>
      <c r="J8" s="415"/>
      <c r="K8" s="415"/>
      <c r="L8" s="416" t="s">
        <v>38</v>
      </c>
      <c r="M8" s="417" t="s">
        <v>39</v>
      </c>
      <c r="N8" s="412"/>
      <c r="O8" s="192"/>
      <c r="P8" s="193"/>
      <c r="Q8" s="193"/>
      <c r="R8" s="193"/>
      <c r="S8" s="193"/>
      <c r="T8" s="194"/>
      <c r="U8" s="194"/>
      <c r="V8" s="194"/>
    </row>
    <row r="9" s="104" customFormat="1" ht="24.95" customHeight="1" spans="1:22">
      <c r="A9" s="418" t="s">
        <v>40</v>
      </c>
      <c r="B9" s="419"/>
      <c r="C9" s="419"/>
      <c r="D9" s="419"/>
      <c r="E9" s="419"/>
      <c r="F9" s="419"/>
      <c r="G9" s="419"/>
      <c r="H9" s="419"/>
      <c r="I9" s="420"/>
      <c r="J9" s="421"/>
      <c r="K9" s="421"/>
      <c r="L9" s="422">
        <v>2</v>
      </c>
      <c r="M9" s="423"/>
      <c r="N9" s="412"/>
      <c r="O9" s="138"/>
      <c r="P9" s="139"/>
      <c r="Q9" s="139"/>
      <c r="R9" s="139"/>
      <c r="S9" s="139"/>
      <c r="T9" s="150"/>
      <c r="U9" s="150"/>
      <c r="V9" s="150"/>
    </row>
    <row r="10" s="104" customFormat="1" ht="24.95" customHeight="1" spans="1:22">
      <c r="A10" s="424" t="s">
        <v>41</v>
      </c>
      <c r="B10" s="425"/>
      <c r="C10" s="425"/>
      <c r="D10" s="425"/>
      <c r="E10" s="425"/>
      <c r="F10" s="425"/>
      <c r="G10" s="425"/>
      <c r="H10" s="425"/>
      <c r="I10" s="426"/>
      <c r="J10" s="427">
        <f>(SUM(J11:J40))</f>
        <v>0</v>
      </c>
      <c r="K10" s="427">
        <f>(SUM(K11:K40))</f>
        <v>0</v>
      </c>
      <c r="L10" s="428">
        <f>+L9+J10-K10</f>
        <v>2</v>
      </c>
      <c r="M10" s="429"/>
      <c r="N10" s="430"/>
      <c r="O10" s="138" t="s">
        <v>42</v>
      </c>
      <c r="P10" s="139"/>
      <c r="Q10" s="211" t="s">
        <v>43</v>
      </c>
      <c r="R10" s="211" t="s">
        <v>44</v>
      </c>
      <c r="S10" s="211" t="s">
        <v>45</v>
      </c>
      <c r="T10" s="139" t="s">
        <v>29</v>
      </c>
      <c r="U10" s="211" t="s">
        <v>45</v>
      </c>
      <c r="V10" s="139" t="s">
        <v>29</v>
      </c>
    </row>
    <row r="11" s="104" customFormat="1" ht="24" customHeight="1" spans="1:22">
      <c r="A11" s="431"/>
      <c r="B11" s="258"/>
      <c r="C11" s="258"/>
      <c r="D11" s="246"/>
      <c r="E11" s="432" t="str">
        <f>IF(D11="","",VLOOKUP(D11,'[4]Account Code'!$A$3:$D$273,2,0))</f>
        <v/>
      </c>
      <c r="F11" s="253"/>
      <c r="G11" s="433"/>
      <c r="H11" s="247"/>
      <c r="I11" s="219">
        <f>IFERROR(VLOOKUP(O11,[4]CREDITORS!A:B,2,0),"")</f>
        <v>0</v>
      </c>
      <c r="J11" s="434"/>
      <c r="K11" s="435"/>
      <c r="L11" s="436">
        <f>L9+J11-K11</f>
        <v>2</v>
      </c>
      <c r="M11" s="437"/>
      <c r="N11" s="248"/>
      <c r="O11" s="192"/>
      <c r="P11" s="211" t="e">
        <f>(LEN(#REF!))</f>
        <v>#REF!</v>
      </c>
      <c r="Q11" s="139"/>
      <c r="R11" s="139"/>
      <c r="S11" s="139"/>
      <c r="T11" s="150"/>
      <c r="U11" s="150"/>
      <c r="V11" s="150"/>
    </row>
    <row r="12" s="104" customFormat="1" ht="24" customHeight="1" spans="1:22">
      <c r="A12" s="438"/>
      <c r="B12" s="258"/>
      <c r="C12" s="241"/>
      <c r="D12" s="246"/>
      <c r="E12" s="439" t="str">
        <f>IF(D12="","",VLOOKUP(D12,'[4]Account Code'!$A$3:$D$273,2,0))</f>
        <v/>
      </c>
      <c r="F12" s="253"/>
      <c r="G12" s="247"/>
      <c r="H12" s="247"/>
      <c r="I12" s="219">
        <f>IFERROR(VLOOKUP(O12,[4]CREDITORS!A:B,2,0),"")</f>
        <v>0</v>
      </c>
      <c r="J12" s="440"/>
      <c r="K12" s="440"/>
      <c r="L12" s="441">
        <f t="shared" ref="L12:L35" si="0">L11+J12-K12</f>
        <v>2</v>
      </c>
      <c r="M12" s="231"/>
      <c r="N12" s="248"/>
      <c r="O12" s="192"/>
      <c r="P12" s="211">
        <f t="shared" ref="P11:P35" si="1">(LEN(C12))</f>
        <v>0</v>
      </c>
      <c r="Q12" s="139"/>
      <c r="R12" s="139"/>
      <c r="S12" s="249"/>
      <c r="T12" s="150"/>
      <c r="U12" s="150"/>
      <c r="V12" s="150"/>
    </row>
    <row r="13" s="104" customFormat="1" ht="24" customHeight="1" spans="1:22">
      <c r="A13" s="438"/>
      <c r="B13" s="258"/>
      <c r="C13" s="241"/>
      <c r="D13" s="246"/>
      <c r="E13" s="439" t="str">
        <f>IF(D13="","",VLOOKUP(D13,'[4]Account Code'!$A$3:$D$273,2,0))</f>
        <v/>
      </c>
      <c r="F13" s="253"/>
      <c r="G13" s="247"/>
      <c r="H13" s="247"/>
      <c r="I13" s="219">
        <f>IFERROR(VLOOKUP(O13,[4]CREDITORS!A:B,2,0),"")</f>
        <v>0</v>
      </c>
      <c r="J13" s="440"/>
      <c r="K13" s="440"/>
      <c r="L13" s="441">
        <f t="shared" si="0"/>
        <v>2</v>
      </c>
      <c r="M13" s="231"/>
      <c r="N13" s="248"/>
      <c r="O13" s="192"/>
      <c r="P13" s="211">
        <f t="shared" si="1"/>
        <v>0</v>
      </c>
      <c r="Q13" s="139"/>
      <c r="R13" s="139"/>
      <c r="S13" s="139"/>
      <c r="T13" s="150"/>
      <c r="U13" s="150"/>
      <c r="V13" s="150"/>
    </row>
    <row r="14" s="104" customFormat="1" ht="24" customHeight="1" spans="1:22">
      <c r="A14" s="438"/>
      <c r="B14" s="258"/>
      <c r="C14" s="241"/>
      <c r="D14" s="246"/>
      <c r="E14" s="439" t="str">
        <f>IF(D14="","",VLOOKUP(D14,'[4]Account Code'!$A$3:$D$273,2,0))</f>
        <v/>
      </c>
      <c r="F14" s="253"/>
      <c r="G14" s="247"/>
      <c r="H14" s="247"/>
      <c r="I14" s="219">
        <f>IFERROR(VLOOKUP(O14,[4]CREDITORS!A:B,2,0),"")</f>
        <v>0</v>
      </c>
      <c r="J14" s="440"/>
      <c r="K14" s="440"/>
      <c r="L14" s="441">
        <f t="shared" si="0"/>
        <v>2</v>
      </c>
      <c r="M14" s="231"/>
      <c r="N14" s="248"/>
      <c r="O14" s="192"/>
      <c r="P14" s="211">
        <f t="shared" si="1"/>
        <v>0</v>
      </c>
      <c r="Q14" s="139"/>
      <c r="R14" s="139"/>
      <c r="S14" s="249"/>
      <c r="T14" s="150"/>
      <c r="U14" s="150"/>
      <c r="V14" s="150"/>
    </row>
    <row r="15" s="104" customFormat="1" ht="24" customHeight="1" spans="1:22">
      <c r="A15" s="438"/>
      <c r="B15" s="258"/>
      <c r="C15" s="241"/>
      <c r="D15" s="246"/>
      <c r="E15" s="439" t="str">
        <f>IF(D15="","",VLOOKUP(D15,'[4]Account Code'!$A$3:$D$273,2,0))</f>
        <v/>
      </c>
      <c r="F15" s="253"/>
      <c r="G15" s="247"/>
      <c r="H15" s="247"/>
      <c r="I15" s="219">
        <f>IFERROR(VLOOKUP(O15,[4]CREDITORS!A:B,2,0),"")</f>
        <v>0</v>
      </c>
      <c r="J15" s="440"/>
      <c r="K15" s="440"/>
      <c r="L15" s="441">
        <f t="shared" si="0"/>
        <v>2</v>
      </c>
      <c r="M15" s="231"/>
      <c r="N15" s="248"/>
      <c r="O15" s="192"/>
      <c r="P15" s="211">
        <f t="shared" si="1"/>
        <v>0</v>
      </c>
      <c r="Q15" s="139"/>
      <c r="R15" s="139"/>
      <c r="S15" s="249"/>
      <c r="T15" s="150"/>
      <c r="U15" s="150"/>
      <c r="V15" s="150"/>
    </row>
    <row r="16" s="104" customFormat="1" ht="24" customHeight="1" spans="1:22">
      <c r="A16" s="438"/>
      <c r="B16" s="258"/>
      <c r="C16" s="241"/>
      <c r="D16" s="246"/>
      <c r="E16" s="439" t="str">
        <f>IF(D16="","",VLOOKUP(D16,'[4]Account Code'!$A$3:$D$273,2,0))</f>
        <v/>
      </c>
      <c r="F16" s="253"/>
      <c r="G16" s="247"/>
      <c r="H16" s="247"/>
      <c r="I16" s="219">
        <f>IFERROR(VLOOKUP(O16,[4]CREDITORS!A:B,2,0),"")</f>
        <v>0</v>
      </c>
      <c r="J16" s="440"/>
      <c r="K16" s="440"/>
      <c r="L16" s="441">
        <f t="shared" si="0"/>
        <v>2</v>
      </c>
      <c r="M16" s="231"/>
      <c r="N16" s="248"/>
      <c r="O16" s="192"/>
      <c r="P16" s="211">
        <f t="shared" si="1"/>
        <v>0</v>
      </c>
      <c r="Q16" s="139"/>
      <c r="R16" s="139"/>
      <c r="S16" s="249"/>
      <c r="T16" s="150"/>
      <c r="U16" s="150"/>
      <c r="V16" s="150"/>
    </row>
    <row r="17" s="104" customFormat="1" ht="24" customHeight="1" spans="1:22">
      <c r="A17" s="438"/>
      <c r="B17" s="258"/>
      <c r="C17" s="241"/>
      <c r="D17" s="246"/>
      <c r="E17" s="439" t="str">
        <f>IF(D17="","",VLOOKUP(D17,'[4]Account Code'!$A$3:$D$273,2,0))</f>
        <v/>
      </c>
      <c r="F17" s="253"/>
      <c r="G17" s="247"/>
      <c r="H17" s="247"/>
      <c r="I17" s="219">
        <f>IFERROR(VLOOKUP(O17,[4]CREDITORS!A:B,2,0),"")</f>
        <v>0</v>
      </c>
      <c r="J17" s="440"/>
      <c r="K17" s="440"/>
      <c r="L17" s="441">
        <f t="shared" si="0"/>
        <v>2</v>
      </c>
      <c r="M17" s="231"/>
      <c r="N17" s="248"/>
      <c r="O17" s="192"/>
      <c r="P17" s="211">
        <f t="shared" si="1"/>
        <v>0</v>
      </c>
      <c r="Q17" s="139"/>
      <c r="R17" s="139"/>
      <c r="S17" s="249"/>
      <c r="T17" s="150"/>
      <c r="U17" s="150"/>
      <c r="V17" s="150"/>
    </row>
    <row r="18" s="104" customFormat="1" ht="24" customHeight="1" spans="1:22">
      <c r="A18" s="438"/>
      <c r="B18" s="258"/>
      <c r="C18" s="241"/>
      <c r="D18" s="246"/>
      <c r="E18" s="439" t="str">
        <f>IF(D18="","",VLOOKUP(D18,'[4]Account Code'!$A$3:$D$273,2,0))</f>
        <v/>
      </c>
      <c r="F18" s="253"/>
      <c r="G18" s="247"/>
      <c r="H18" s="247"/>
      <c r="I18" s="219">
        <f>IFERROR(VLOOKUP(O18,[4]CREDITORS!A:B,2,0),"")</f>
        <v>0</v>
      </c>
      <c r="J18" s="440"/>
      <c r="K18" s="440"/>
      <c r="L18" s="441">
        <f t="shared" si="0"/>
        <v>2</v>
      </c>
      <c r="M18" s="231"/>
      <c r="N18" s="248"/>
      <c r="O18" s="192"/>
      <c r="P18" s="211">
        <f t="shared" si="1"/>
        <v>0</v>
      </c>
      <c r="Q18" s="139"/>
      <c r="R18" s="139"/>
      <c r="S18" s="249"/>
      <c r="T18" s="150"/>
      <c r="U18" s="150"/>
      <c r="V18" s="150"/>
    </row>
    <row r="19" s="104" customFormat="1" ht="24" customHeight="1" spans="1:22">
      <c r="A19" s="438"/>
      <c r="B19" s="258"/>
      <c r="C19" s="241"/>
      <c r="D19" s="246"/>
      <c r="E19" s="216" t="str">
        <f>IF(D19="","",VLOOKUP(D19,'[4]Account Code'!$A$3:$D$273,2,0))</f>
        <v/>
      </c>
      <c r="F19" s="253"/>
      <c r="G19" s="247"/>
      <c r="H19" s="247"/>
      <c r="I19" s="219">
        <f>IFERROR(VLOOKUP(O19,[4]CREDITORS!A:B,2,0),"")</f>
        <v>0</v>
      </c>
      <c r="J19" s="440"/>
      <c r="K19" s="440"/>
      <c r="L19" s="441">
        <f t="shared" si="0"/>
        <v>2</v>
      </c>
      <c r="M19" s="231"/>
      <c r="N19" s="248"/>
      <c r="O19" s="192"/>
      <c r="P19" s="211">
        <f t="shared" si="1"/>
        <v>0</v>
      </c>
      <c r="Q19" s="139"/>
      <c r="R19" s="139"/>
      <c r="S19" s="249"/>
      <c r="T19" s="150"/>
      <c r="U19" s="150"/>
      <c r="V19" s="150"/>
    </row>
    <row r="20" s="104" customFormat="1" ht="24" customHeight="1" spans="1:22">
      <c r="A20" s="438"/>
      <c r="B20" s="258"/>
      <c r="C20" s="241"/>
      <c r="D20" s="246"/>
      <c r="E20" s="439" t="str">
        <f>IF(D20="","",VLOOKUP(D20,'[4]Account Code'!$A$3:$D$273,2,0))</f>
        <v/>
      </c>
      <c r="F20" s="253"/>
      <c r="G20" s="247"/>
      <c r="H20" s="247"/>
      <c r="I20" s="219">
        <f>IFERROR(VLOOKUP(O20,[4]CREDITORS!A:B,2,0),"")</f>
        <v>0</v>
      </c>
      <c r="J20" s="442"/>
      <c r="K20" s="440"/>
      <c r="L20" s="441">
        <f t="shared" si="0"/>
        <v>2</v>
      </c>
      <c r="M20" s="443"/>
      <c r="N20" s="248"/>
      <c r="O20" s="192"/>
      <c r="P20" s="211">
        <f t="shared" si="1"/>
        <v>0</v>
      </c>
      <c r="Q20" s="139"/>
      <c r="R20" s="139"/>
      <c r="S20" s="249"/>
      <c r="T20" s="150"/>
      <c r="U20" s="150"/>
      <c r="V20" s="150"/>
    </row>
    <row r="21" s="104" customFormat="1" ht="24" customHeight="1" spans="1:22">
      <c r="A21" s="438"/>
      <c r="B21" s="258"/>
      <c r="C21" s="241"/>
      <c r="D21" s="246"/>
      <c r="E21" s="439" t="str">
        <f>IF(D21="","",VLOOKUP(D21,'[4]Account Code'!$A$3:$D$273,2,0))</f>
        <v/>
      </c>
      <c r="F21" s="253"/>
      <c r="G21" s="247"/>
      <c r="H21" s="247"/>
      <c r="I21" s="219">
        <f>IFERROR(VLOOKUP(O21,[4]CREDITORS!A:B,2,0),"")</f>
        <v>0</v>
      </c>
      <c r="J21" s="440"/>
      <c r="K21" s="444"/>
      <c r="L21" s="441">
        <f t="shared" si="0"/>
        <v>2</v>
      </c>
      <c r="M21" s="231"/>
      <c r="N21" s="224"/>
      <c r="O21" s="192"/>
      <c r="P21" s="211">
        <f t="shared" si="1"/>
        <v>0</v>
      </c>
      <c r="Q21" s="139"/>
      <c r="R21" s="139"/>
      <c r="S21" s="249"/>
      <c r="T21" s="150"/>
      <c r="U21" s="150"/>
      <c r="V21" s="150"/>
    </row>
    <row r="22" s="104" customFormat="1" ht="24" customHeight="1" spans="1:22">
      <c r="A22" s="438"/>
      <c r="B22" s="258"/>
      <c r="C22" s="241"/>
      <c r="D22" s="246"/>
      <c r="E22" s="439" t="str">
        <f>IF(D22="","",VLOOKUP(D22,'[4]Account Code'!$A$3:$D$273,2,0))</f>
        <v/>
      </c>
      <c r="F22" s="253"/>
      <c r="G22" s="247"/>
      <c r="H22" s="247"/>
      <c r="I22" s="219">
        <f>IFERROR(VLOOKUP(O22,[4]CREDITORS!A:B,2,0),"")</f>
        <v>0</v>
      </c>
      <c r="J22" s="445"/>
      <c r="K22" s="446"/>
      <c r="L22" s="441">
        <f t="shared" si="0"/>
        <v>2</v>
      </c>
      <c r="M22" s="231"/>
      <c r="N22" s="224"/>
      <c r="O22" s="192"/>
      <c r="P22" s="211">
        <f t="shared" si="1"/>
        <v>0</v>
      </c>
      <c r="Q22" s="139"/>
      <c r="R22" s="139"/>
      <c r="S22" s="249"/>
      <c r="T22" s="150"/>
      <c r="U22" s="150"/>
      <c r="V22" s="150"/>
    </row>
    <row r="23" s="104" customFormat="1" ht="24" customHeight="1" spans="1:22">
      <c r="A23" s="438"/>
      <c r="B23" s="258"/>
      <c r="C23" s="241"/>
      <c r="D23" s="246"/>
      <c r="E23" s="439" t="str">
        <f>IF(D23="","",VLOOKUP(D23,'[4]Account Code'!$A$3:$D$273,2,0))</f>
        <v/>
      </c>
      <c r="F23" s="253"/>
      <c r="G23" s="247"/>
      <c r="H23" s="247"/>
      <c r="I23" s="219">
        <f>IFERROR(VLOOKUP(O23,[4]CREDITORS!A:B,2,0),"")</f>
        <v>0</v>
      </c>
      <c r="J23" s="445"/>
      <c r="K23" s="446"/>
      <c r="L23" s="441">
        <f t="shared" si="0"/>
        <v>2</v>
      </c>
      <c r="M23" s="231"/>
      <c r="N23" s="248"/>
      <c r="O23" s="192"/>
      <c r="P23" s="211">
        <f t="shared" si="1"/>
        <v>0</v>
      </c>
      <c r="Q23" s="139"/>
      <c r="R23" s="139"/>
      <c r="S23" s="139"/>
      <c r="T23" s="150"/>
      <c r="U23" s="150"/>
      <c r="V23" s="150"/>
    </row>
    <row r="24" s="104" customFormat="1" ht="24" customHeight="1" spans="1:22">
      <c r="A24" s="438"/>
      <c r="B24" s="258"/>
      <c r="C24" s="241"/>
      <c r="D24" s="447"/>
      <c r="E24" s="439" t="str">
        <f>IF(D24="","",VLOOKUP(D24,'[4]Account Code'!$A$3:$D$273,2,0))</f>
        <v/>
      </c>
      <c r="F24" s="217"/>
      <c r="G24" s="247"/>
      <c r="H24" s="247"/>
      <c r="I24" s="219">
        <f>IFERROR(VLOOKUP(O24,[4]CREDITORS!A:B,2,0),"")</f>
        <v>0</v>
      </c>
      <c r="J24" s="445"/>
      <c r="K24" s="446"/>
      <c r="L24" s="441">
        <f t="shared" si="0"/>
        <v>2</v>
      </c>
      <c r="M24" s="231"/>
      <c r="N24" s="248"/>
      <c r="O24" s="192"/>
      <c r="P24" s="211">
        <f t="shared" si="1"/>
        <v>0</v>
      </c>
      <c r="Q24" s="139"/>
      <c r="R24" s="139"/>
      <c r="S24" s="139"/>
      <c r="T24" s="150"/>
      <c r="U24" s="150"/>
      <c r="V24" s="150"/>
    </row>
    <row r="25" s="104" customFormat="1" ht="24" customHeight="1" spans="1:22">
      <c r="A25" s="438"/>
      <c r="B25" s="258"/>
      <c r="C25" s="448"/>
      <c r="D25" s="447"/>
      <c r="E25" s="439" t="str">
        <f>IF(D25="","",VLOOKUP(D25,'[4]Account Code'!$A$3:$D$273,2,0))</f>
        <v/>
      </c>
      <c r="F25" s="217"/>
      <c r="G25" s="247"/>
      <c r="H25" s="247"/>
      <c r="I25" s="219">
        <f>IFERROR(VLOOKUP(O25,[4]CREDITORS!A:B,2,0),"")</f>
        <v>0</v>
      </c>
      <c r="J25" s="445"/>
      <c r="K25" s="449"/>
      <c r="L25" s="441">
        <f t="shared" si="0"/>
        <v>2</v>
      </c>
      <c r="M25" s="231"/>
      <c r="N25" s="248"/>
      <c r="O25" s="192"/>
      <c r="P25" s="211">
        <f t="shared" si="1"/>
        <v>0</v>
      </c>
      <c r="Q25" s="139"/>
      <c r="R25" s="139"/>
      <c r="S25" s="139"/>
      <c r="T25" s="150"/>
      <c r="U25" s="150"/>
      <c r="V25" s="150"/>
    </row>
    <row r="26" s="104" customFormat="1" ht="24" customHeight="1" spans="1:22">
      <c r="A26" s="438"/>
      <c r="B26" s="258"/>
      <c r="C26" s="241"/>
      <c r="D26" s="447"/>
      <c r="E26" s="439" t="str">
        <f>IF(D26="","",VLOOKUP(D26,'[4]Account Code'!$A$3:$D$273,2,0))</f>
        <v/>
      </c>
      <c r="F26" s="217"/>
      <c r="G26" s="247"/>
      <c r="H26" s="247"/>
      <c r="I26" s="219">
        <f>IFERROR(VLOOKUP(O26,[4]CREDITORS!A:B,2,0),"")</f>
        <v>0</v>
      </c>
      <c r="J26" s="445"/>
      <c r="K26" s="446"/>
      <c r="L26" s="441">
        <f t="shared" si="0"/>
        <v>2</v>
      </c>
      <c r="M26" s="231"/>
      <c r="N26" s="248"/>
      <c r="O26" s="192"/>
      <c r="P26" s="211">
        <f t="shared" si="1"/>
        <v>0</v>
      </c>
      <c r="Q26" s="139"/>
      <c r="R26" s="139"/>
      <c r="S26" s="139"/>
      <c r="T26" s="150"/>
      <c r="U26" s="150"/>
      <c r="V26" s="150"/>
    </row>
    <row r="27" s="104" customFormat="1" ht="24" customHeight="1" spans="1:22">
      <c r="A27" s="438"/>
      <c r="B27" s="258"/>
      <c r="C27" s="241"/>
      <c r="D27" s="447"/>
      <c r="E27" s="439" t="str">
        <f>IF(D27="","",VLOOKUP(D27,'[4]Account Code'!$A$3:$D$273,2,0))</f>
        <v/>
      </c>
      <c r="F27" s="217"/>
      <c r="G27" s="247"/>
      <c r="H27" s="247"/>
      <c r="I27" s="219">
        <f>IFERROR(VLOOKUP(O27,[4]CREDITORS!A:B,2,0),"")</f>
        <v>0</v>
      </c>
      <c r="J27" s="445"/>
      <c r="K27" s="446"/>
      <c r="L27" s="441">
        <f t="shared" si="0"/>
        <v>2</v>
      </c>
      <c r="M27" s="231"/>
      <c r="N27" s="248"/>
      <c r="O27" s="192"/>
      <c r="P27" s="211">
        <f t="shared" si="1"/>
        <v>0</v>
      </c>
      <c r="Q27" s="139"/>
      <c r="R27" s="139"/>
      <c r="S27" s="139"/>
      <c r="T27" s="150"/>
      <c r="U27" s="150"/>
      <c r="V27" s="150"/>
    </row>
    <row r="28" s="104" customFormat="1" ht="24" customHeight="1" spans="1:22">
      <c r="A28" s="438"/>
      <c r="B28" s="258"/>
      <c r="C28" s="241"/>
      <c r="D28" s="447"/>
      <c r="E28" s="439" t="str">
        <f>IF(D28="","",VLOOKUP(D28,'[4]Account Code'!$A$3:$D$273,2,0))</f>
        <v/>
      </c>
      <c r="F28" s="217"/>
      <c r="G28" s="247"/>
      <c r="H28" s="247"/>
      <c r="I28" s="219">
        <f>IFERROR(VLOOKUP(O28,[4]CREDITORS!A:B,2,0),"")</f>
        <v>0</v>
      </c>
      <c r="J28" s="445"/>
      <c r="K28" s="446"/>
      <c r="L28" s="441">
        <f t="shared" si="0"/>
        <v>2</v>
      </c>
      <c r="M28" s="231"/>
      <c r="N28" s="248"/>
      <c r="O28" s="192"/>
      <c r="P28" s="211">
        <f t="shared" si="1"/>
        <v>0</v>
      </c>
      <c r="Q28" s="139"/>
      <c r="R28" s="139"/>
      <c r="S28" s="139"/>
      <c r="T28" s="150"/>
      <c r="U28" s="150"/>
      <c r="V28" s="150"/>
    </row>
    <row r="29" s="104" customFormat="1" ht="24" customHeight="1" spans="1:22">
      <c r="A29" s="438"/>
      <c r="B29" s="258"/>
      <c r="C29" s="448"/>
      <c r="D29" s="447"/>
      <c r="E29" s="439" t="str">
        <f>IF(D29="","",VLOOKUP(D29,'[4]Account Code'!$A$3:$D$273,2,0))</f>
        <v/>
      </c>
      <c r="F29" s="217"/>
      <c r="G29" s="247"/>
      <c r="H29" s="247"/>
      <c r="I29" s="219">
        <f>IFERROR(VLOOKUP(O29,[4]CREDITORS!A:B,2,0),"")</f>
        <v>0</v>
      </c>
      <c r="J29" s="445"/>
      <c r="K29" s="446"/>
      <c r="L29" s="441">
        <f t="shared" si="0"/>
        <v>2</v>
      </c>
      <c r="M29" s="231"/>
      <c r="N29" s="248"/>
      <c r="O29" s="192"/>
      <c r="P29" s="211">
        <f t="shared" si="1"/>
        <v>0</v>
      </c>
      <c r="Q29" s="139"/>
      <c r="R29" s="139"/>
      <c r="S29" s="139"/>
      <c r="T29" s="150"/>
      <c r="U29" s="150"/>
      <c r="V29" s="150"/>
    </row>
    <row r="30" s="104" customFormat="1" ht="24" customHeight="1" spans="1:22">
      <c r="A30" s="438"/>
      <c r="B30" s="258"/>
      <c r="C30" s="448"/>
      <c r="D30" s="447"/>
      <c r="E30" s="439" t="str">
        <f>IF(D30="","",VLOOKUP(D30,'[4]Account Code'!$A$3:$D$273,2,0))</f>
        <v/>
      </c>
      <c r="F30" s="217"/>
      <c r="G30" s="247"/>
      <c r="H30" s="247"/>
      <c r="I30" s="219">
        <f>IFERROR(VLOOKUP(O30,[4]CREDITORS!A:B,2,0),"")</f>
        <v>0</v>
      </c>
      <c r="J30" s="445"/>
      <c r="K30" s="446"/>
      <c r="L30" s="441">
        <f t="shared" si="0"/>
        <v>2</v>
      </c>
      <c r="M30" s="231"/>
      <c r="N30" s="248"/>
      <c r="O30" s="192"/>
      <c r="P30" s="211">
        <f t="shared" si="1"/>
        <v>0</v>
      </c>
      <c r="Q30" s="139"/>
      <c r="R30" s="139"/>
      <c r="S30" s="139"/>
      <c r="T30" s="150"/>
      <c r="U30" s="150"/>
      <c r="V30" s="150"/>
    </row>
    <row r="31" s="104" customFormat="1" ht="24" customHeight="1" spans="1:22">
      <c r="A31" s="438"/>
      <c r="B31" s="258"/>
      <c r="C31" s="241"/>
      <c r="D31" s="447"/>
      <c r="E31" s="439" t="str">
        <f>IF(D31="","",VLOOKUP(D31,'[4]Account Code'!$A$3:$D$273,2,0))</f>
        <v/>
      </c>
      <c r="F31" s="217"/>
      <c r="G31" s="247"/>
      <c r="H31" s="247"/>
      <c r="I31" s="219">
        <f>IFERROR(VLOOKUP(O31,[4]CREDITORS!A:B,2,0),"")</f>
        <v>0</v>
      </c>
      <c r="J31" s="445"/>
      <c r="K31" s="446"/>
      <c r="L31" s="441">
        <f t="shared" si="0"/>
        <v>2</v>
      </c>
      <c r="M31" s="231"/>
      <c r="N31" s="248"/>
      <c r="O31" s="192"/>
      <c r="P31" s="211">
        <f t="shared" si="1"/>
        <v>0</v>
      </c>
      <c r="Q31" s="139"/>
      <c r="R31" s="139"/>
      <c r="S31" s="139"/>
      <c r="T31" s="150"/>
      <c r="U31" s="150"/>
      <c r="V31" s="150"/>
    </row>
    <row r="32" s="104" customFormat="1" ht="24" customHeight="1" spans="1:22">
      <c r="A32" s="438"/>
      <c r="B32" s="213"/>
      <c r="C32" s="241"/>
      <c r="D32" s="447"/>
      <c r="E32" s="439" t="str">
        <f>IF(D32="","",VLOOKUP(D32,'[4]Account Code'!$A$3:$D$273,2,0))</f>
        <v/>
      </c>
      <c r="F32" s="217"/>
      <c r="G32" s="247"/>
      <c r="H32" s="247"/>
      <c r="I32" s="219">
        <f>IFERROR(VLOOKUP(O32,[4]CREDITORS!A:B,2,0),"")</f>
        <v>0</v>
      </c>
      <c r="J32" s="445"/>
      <c r="K32" s="446"/>
      <c r="L32" s="441">
        <f t="shared" si="0"/>
        <v>2</v>
      </c>
      <c r="M32" s="231"/>
      <c r="N32" s="248"/>
      <c r="O32" s="192"/>
      <c r="P32" s="211">
        <f t="shared" si="1"/>
        <v>0</v>
      </c>
      <c r="Q32" s="139"/>
      <c r="R32" s="139"/>
      <c r="S32" s="139"/>
      <c r="T32" s="150"/>
      <c r="U32" s="150"/>
      <c r="V32" s="150"/>
    </row>
    <row r="33" s="104" customFormat="1" ht="24" customHeight="1" spans="1:22">
      <c r="A33" s="438"/>
      <c r="B33" s="213"/>
      <c r="C33" s="241"/>
      <c r="D33" s="447"/>
      <c r="E33" s="439" t="str">
        <f>IF(D33="","",VLOOKUP(D33,'[4]Account Code'!$A$3:$D$273,2,0))</f>
        <v/>
      </c>
      <c r="F33" s="217"/>
      <c r="G33" s="247"/>
      <c r="H33" s="247"/>
      <c r="I33" s="219">
        <f>IFERROR(VLOOKUP(O33,[4]CREDITORS!A:B,2,0),"")</f>
        <v>0</v>
      </c>
      <c r="J33" s="450"/>
      <c r="K33" s="451"/>
      <c r="L33" s="441">
        <f t="shared" si="0"/>
        <v>2</v>
      </c>
      <c r="M33" s="227"/>
      <c r="N33" s="248"/>
      <c r="O33" s="192"/>
      <c r="P33" s="211">
        <f t="shared" si="1"/>
        <v>0</v>
      </c>
      <c r="Q33" s="139"/>
      <c r="R33" s="139"/>
      <c r="S33" s="139"/>
      <c r="T33" s="150"/>
      <c r="U33" s="150"/>
      <c r="V33" s="150"/>
    </row>
    <row r="34" s="104" customFormat="1" ht="24" customHeight="1" spans="1:22">
      <c r="A34" s="438"/>
      <c r="B34" s="213"/>
      <c r="C34" s="241"/>
      <c r="D34" s="447"/>
      <c r="E34" s="439" t="str">
        <f>IF(D34="","",VLOOKUP(D34,'[4]Account Code'!$A$3:$D$273,2,0))</f>
        <v/>
      </c>
      <c r="F34" s="217"/>
      <c r="G34" s="247"/>
      <c r="H34" s="247"/>
      <c r="I34" s="219">
        <f>IFERROR(VLOOKUP(O34,[4]CREDITORS!A:B,2,0),"")</f>
        <v>0</v>
      </c>
      <c r="J34" s="450"/>
      <c r="K34" s="451"/>
      <c r="L34" s="441">
        <f t="shared" si="0"/>
        <v>2</v>
      </c>
      <c r="M34" s="227"/>
      <c r="N34" s="248"/>
      <c r="O34" s="192"/>
      <c r="P34" s="211">
        <f t="shared" si="1"/>
        <v>0</v>
      </c>
      <c r="Q34" s="139"/>
      <c r="R34" s="139"/>
      <c r="S34" s="139"/>
      <c r="T34" s="150"/>
      <c r="U34" s="150"/>
      <c r="V34" s="150"/>
    </row>
    <row r="35" s="104" customFormat="1" ht="24" customHeight="1" spans="1:22">
      <c r="A35" s="438"/>
      <c r="B35" s="213"/>
      <c r="C35" s="241"/>
      <c r="D35" s="447"/>
      <c r="E35" s="439" t="str">
        <f>IF(D35="","",VLOOKUP(D35,'[4]Account Code'!$A$3:$D$273,2,0))</f>
        <v/>
      </c>
      <c r="F35" s="452"/>
      <c r="G35" s="247"/>
      <c r="H35" s="247"/>
      <c r="I35" s="219">
        <f>IFERROR(VLOOKUP(O35,[4]CREDITORS!A:B,2,0),"")</f>
        <v>0</v>
      </c>
      <c r="J35" s="450"/>
      <c r="K35" s="451"/>
      <c r="L35" s="441">
        <f t="shared" si="0"/>
        <v>2</v>
      </c>
      <c r="M35" s="227"/>
      <c r="N35" s="248"/>
      <c r="O35" s="192"/>
      <c r="P35" s="211">
        <f t="shared" si="1"/>
        <v>0</v>
      </c>
      <c r="Q35" s="139"/>
      <c r="R35" s="139"/>
      <c r="S35" s="139"/>
      <c r="T35" s="150"/>
      <c r="U35" s="150"/>
      <c r="V35" s="150"/>
    </row>
    <row r="36" s="104" customFormat="1" ht="24" customHeight="1" spans="1:22">
      <c r="A36" s="438"/>
      <c r="B36" s="213"/>
      <c r="C36" s="241"/>
      <c r="D36" s="447"/>
      <c r="E36" s="439" t="str">
        <f>IF(D36="","",VLOOKUP(D36,'[4]Account Code'!$A$3:$D$273,2,0))</f>
        <v/>
      </c>
      <c r="F36" s="452"/>
      <c r="G36" s="247"/>
      <c r="H36" s="247"/>
      <c r="I36" s="219">
        <f>IFERROR(VLOOKUP(O36,[4]CREDITORS!A:B,2,0),"")</f>
        <v>0</v>
      </c>
      <c r="J36" s="450"/>
      <c r="K36" s="451"/>
      <c r="L36" s="441"/>
      <c r="M36" s="227"/>
      <c r="N36" s="248"/>
      <c r="O36" s="192"/>
      <c r="P36" s="211"/>
      <c r="Q36" s="139"/>
      <c r="R36" s="139"/>
      <c r="S36" s="139"/>
      <c r="T36" s="150"/>
      <c r="U36" s="150"/>
      <c r="V36" s="150"/>
    </row>
    <row r="37" s="104" customFormat="1" ht="24" customHeight="1" spans="1:22">
      <c r="A37" s="438"/>
      <c r="B37" s="213"/>
      <c r="C37" s="241"/>
      <c r="D37" s="453"/>
      <c r="E37" s="439" t="str">
        <f>IF(D37="","",VLOOKUP(D37,'[4]Account Code'!$A$3:$D$273,2,0))</f>
        <v/>
      </c>
      <c r="F37" s="452"/>
      <c r="G37" s="247"/>
      <c r="H37" s="247"/>
      <c r="I37" s="219">
        <f>IFERROR(VLOOKUP(O37,[4]CREDITORS!A:B,2,0),"")</f>
        <v>0</v>
      </c>
      <c r="J37" s="450"/>
      <c r="K37" s="451"/>
      <c r="L37" s="441"/>
      <c r="M37" s="227"/>
      <c r="N37" s="248"/>
      <c r="O37" s="192"/>
      <c r="P37" s="211"/>
      <c r="Q37" s="139"/>
      <c r="R37" s="139"/>
      <c r="S37" s="139"/>
      <c r="T37" s="150"/>
      <c r="U37" s="150"/>
      <c r="V37" s="150"/>
    </row>
    <row r="38" s="104" customFormat="1" ht="24" customHeight="1" spans="1:22">
      <c r="A38" s="454"/>
      <c r="B38" s="454"/>
      <c r="C38" s="455"/>
      <c r="D38" s="456"/>
      <c r="E38" s="439" t="str">
        <f>IF(D38="","",VLOOKUP(D38,'[4]Account Code'!$A$3:$D$273,2,0))</f>
        <v/>
      </c>
      <c r="F38" s="457"/>
      <c r="G38" s="458"/>
      <c r="H38" s="458"/>
      <c r="I38" s="219">
        <f>IFERROR(VLOOKUP(O38,[4]CREDITORS!A:B,2,0),"")</f>
        <v>0</v>
      </c>
      <c r="J38" s="459"/>
      <c r="K38" s="460"/>
      <c r="L38" s="461"/>
      <c r="M38" s="462"/>
      <c r="N38" s="248"/>
      <c r="O38" s="192"/>
      <c r="P38" s="211"/>
      <c r="Q38" s="139"/>
      <c r="R38" s="139"/>
      <c r="S38" s="139"/>
      <c r="T38" s="150"/>
      <c r="U38" s="150"/>
      <c r="V38" s="150"/>
    </row>
  </sheetData>
  <mergeCells count="15">
    <mergeCell ref="A1:B1"/>
    <mergeCell ref="C1:F1"/>
    <mergeCell ref="A2:B2"/>
    <mergeCell ref="D2:E2"/>
    <mergeCell ref="A3:B3"/>
    <mergeCell ref="C3:E3"/>
    <mergeCell ref="A4:B4"/>
    <mergeCell ref="D6:E6"/>
    <mergeCell ref="D7:E7"/>
    <mergeCell ref="A9:I9"/>
    <mergeCell ref="A10:I10"/>
    <mergeCell ref="G6:G7"/>
    <mergeCell ref="H6:H7"/>
    <mergeCell ref="M8:M10"/>
    <mergeCell ref="N6:N10"/>
  </mergeCells>
  <conditionalFormatting sqref="P$1:P$1048576">
    <cfRule type="cellIs" dxfId="0" priority="1" operator="greaterThan">
      <formula>42</formula>
    </cfRule>
  </conditionalFormatting>
  <dataValidations count="3">
    <dataValidation allowBlank="1" showInputMessage="1" showErrorMessage="1" sqref="D11:D38"/>
    <dataValidation type="list" allowBlank="1" showInputMessage="1" showErrorMessage="1" sqref="M12:M38">
      <formula1>LocalCOA</formula1>
    </dataValidation>
    <dataValidation type="list" allowBlank="1" showInputMessage="1" showErrorMessage="1" sqref="N11:N38">
      <formula1>DDList</formula1>
    </dataValidation>
  </dataValidation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345"/>
  <sheetViews>
    <sheetView topLeftCell="A6" workbookViewId="0">
      <selection activeCell="C13" sqref="C13"/>
    </sheetView>
  </sheetViews>
  <sheetFormatPr defaultColWidth="8" defaultRowHeight="12.75"/>
  <cols>
    <col min="1" max="1" width="7.57142857142857" style="107" customWidth="1"/>
    <col min="2" max="2" width="10.7142857142857" style="103" customWidth="1"/>
    <col min="3" max="3" width="39.2857142857143" style="108" customWidth="1"/>
    <col min="4" max="4" width="7.57142857142857" style="275" customWidth="1"/>
    <col min="5" max="5" width="26.4285714285714" style="103" customWidth="1"/>
    <col min="6" max="6" width="12.4285714285714" style="108" customWidth="1"/>
    <col min="7" max="7" width="8.42857142857143" style="108" customWidth="1" outlineLevel="1"/>
    <col min="8" max="8" width="9.14285714285714" style="108" customWidth="1" outlineLevel="1"/>
    <col min="9" max="9" width="26.4285714285714" style="276" customWidth="1"/>
    <col min="10" max="11" width="14.4285714285714" style="277" customWidth="1"/>
    <col min="12" max="12" width="15.2857142857143" style="278" customWidth="1"/>
    <col min="13" max="13" width="26.2857142857143" style="103" customWidth="1"/>
    <col min="14" max="14" width="23.4285714285714" style="107" customWidth="1"/>
    <col min="15" max="15" width="7.14285714285714" style="113" customWidth="1"/>
    <col min="16" max="16" width="7.60952380952381" style="113" customWidth="1"/>
    <col min="17" max="17" width="20.152380952381" style="107" customWidth="1"/>
    <col min="18" max="18" width="13.4285714285714" style="279" customWidth="1"/>
    <col min="19" max="19" width="13.5714285714286" style="104" customWidth="1"/>
    <col min="20" max="20" width="9.57142857142857" style="104" customWidth="1"/>
    <col min="21" max="21" width="15.8571428571429" style="279" customWidth="1"/>
    <col min="22" max="22" width="18.8571428571429" style="279" customWidth="1"/>
    <col min="23" max="23" width="50.7142857142857" style="279" customWidth="1"/>
    <col min="24" max="24" width="9.71428571428571" style="279" customWidth="1"/>
    <col min="25" max="25" width="25" style="279" customWidth="1"/>
    <col min="26" max="190" width="10.2857142857143" style="103" customWidth="1"/>
    <col min="191" max="16384" width="8" style="103"/>
  </cols>
  <sheetData>
    <row r="1" s="103" customFormat="1" ht="55.15" customHeight="1" spans="1:25">
      <c r="A1" s="280" t="s">
        <v>0</v>
      </c>
      <c r="B1" s="281"/>
      <c r="C1" s="282" t="s">
        <v>1</v>
      </c>
      <c r="D1" s="283"/>
      <c r="E1" s="283"/>
      <c r="F1" s="283"/>
      <c r="G1" s="108"/>
      <c r="H1" s="108"/>
      <c r="I1" s="284"/>
      <c r="J1" s="285"/>
      <c r="K1" s="285"/>
      <c r="L1" s="278"/>
      <c r="N1" s="286"/>
      <c r="O1" s="287"/>
      <c r="P1" s="288"/>
      <c r="Q1" s="286"/>
      <c r="R1" s="287"/>
      <c r="S1" s="287"/>
      <c r="T1" s="287"/>
      <c r="U1" s="279"/>
      <c r="V1" s="279"/>
      <c r="W1" s="279"/>
      <c r="X1" s="279"/>
      <c r="Y1" s="279"/>
    </row>
    <row r="2" s="103" customFormat="1" ht="15" customHeight="1" spans="1:25">
      <c r="A2" s="289" t="s">
        <v>2</v>
      </c>
      <c r="B2" s="290"/>
      <c r="C2" s="291" t="s">
        <v>3</v>
      </c>
      <c r="D2" s="292" t="s">
        <v>49</v>
      </c>
      <c r="E2" s="293"/>
      <c r="F2" s="294">
        <f>[4]cover!B17</f>
        <v>46120</v>
      </c>
      <c r="G2" s="108"/>
      <c r="H2" s="108"/>
      <c r="I2" s="108"/>
      <c r="J2" s="285"/>
      <c r="K2" s="295"/>
      <c r="L2" s="296" t="s">
        <v>5</v>
      </c>
      <c r="N2" s="286"/>
      <c r="O2" s="287"/>
      <c r="P2" s="287"/>
      <c r="Q2" s="287"/>
      <c r="R2" s="287"/>
      <c r="S2" s="287"/>
      <c r="T2" s="287"/>
      <c r="U2" s="279"/>
      <c r="V2" s="279"/>
      <c r="W2" s="279"/>
      <c r="X2" s="279"/>
      <c r="Y2" s="279"/>
    </row>
    <row r="3" s="104" customFormat="1" ht="15" customHeight="1" spans="1:25">
      <c r="A3" s="297" t="s">
        <v>6</v>
      </c>
      <c r="B3" s="298"/>
      <c r="C3" s="299" t="s">
        <v>50</v>
      </c>
      <c r="D3" s="300"/>
      <c r="E3" s="301"/>
      <c r="F3" s="302" t="s">
        <v>51</v>
      </c>
      <c r="G3" s="303"/>
      <c r="H3" s="303"/>
      <c r="I3" s="303"/>
      <c r="J3" s="304"/>
      <c r="K3" s="305"/>
      <c r="L3" s="306" t="s">
        <v>9</v>
      </c>
      <c r="N3" s="307"/>
      <c r="O3" s="307"/>
      <c r="P3" s="307"/>
      <c r="Q3" s="307"/>
      <c r="R3" s="307"/>
      <c r="S3" s="307"/>
      <c r="T3" s="307"/>
      <c r="U3" s="308"/>
      <c r="V3" s="279"/>
      <c r="W3" s="279"/>
      <c r="X3" s="279"/>
      <c r="Y3" s="279"/>
    </row>
    <row r="4" s="104" customFormat="1" ht="15" customHeight="1" spans="1:25">
      <c r="A4" s="309" t="s">
        <v>10</v>
      </c>
      <c r="B4" s="310"/>
      <c r="C4" s="311" t="s">
        <v>52</v>
      </c>
      <c r="D4" s="312"/>
      <c r="E4" s="311"/>
      <c r="F4" s="313" t="s">
        <v>53</v>
      </c>
      <c r="G4" s="303"/>
      <c r="H4" s="303"/>
      <c r="I4" s="303"/>
      <c r="J4" s="304"/>
      <c r="K4" s="314"/>
      <c r="L4" s="306" t="s">
        <v>13</v>
      </c>
      <c r="N4" s="287"/>
      <c r="O4" s="287"/>
      <c r="P4" s="287"/>
      <c r="Q4" s="287"/>
      <c r="R4" s="287"/>
      <c r="S4" s="287"/>
      <c r="T4" s="287"/>
      <c r="U4" s="279"/>
      <c r="V4" s="279"/>
      <c r="W4" s="279"/>
      <c r="X4" s="279"/>
      <c r="Y4" s="279"/>
    </row>
    <row r="5" s="103" customFormat="1" ht="16.15" customHeight="1" spans="1:25">
      <c r="B5" s="315"/>
      <c r="C5" s="108"/>
      <c r="D5" s="275"/>
      <c r="E5" s="108"/>
      <c r="F5" s="108"/>
      <c r="G5" s="108"/>
      <c r="H5" s="108"/>
      <c r="I5" s="108"/>
      <c r="J5" s="285"/>
      <c r="K5" s="285"/>
      <c r="L5" s="278"/>
      <c r="N5" s="107"/>
      <c r="O5" s="113"/>
      <c r="P5" s="113"/>
      <c r="Q5" s="107"/>
      <c r="R5" s="279"/>
      <c r="S5" s="104"/>
      <c r="T5" s="104"/>
      <c r="U5" s="279"/>
      <c r="V5" s="279"/>
      <c r="W5" s="279"/>
      <c r="X5" s="279"/>
      <c r="Y5" s="279"/>
    </row>
    <row r="6" s="103" customFormat="1" ht="18.75" customHeight="1" spans="1:25">
      <c r="A6" s="316" t="s">
        <v>14</v>
      </c>
      <c r="B6" s="317" t="s">
        <v>15</v>
      </c>
      <c r="C6" s="318" t="s">
        <v>16</v>
      </c>
      <c r="D6" s="319" t="s">
        <v>17</v>
      </c>
      <c r="E6" s="320"/>
      <c r="F6" s="321" t="s">
        <v>18</v>
      </c>
      <c r="G6" s="322" t="s">
        <v>19</v>
      </c>
      <c r="H6" s="322" t="s">
        <v>54</v>
      </c>
      <c r="I6" s="318" t="s">
        <v>21</v>
      </c>
      <c r="J6" s="168" t="s">
        <v>22</v>
      </c>
      <c r="K6" s="168" t="s">
        <v>23</v>
      </c>
      <c r="L6" s="323" t="s">
        <v>24</v>
      </c>
      <c r="M6" s="324" t="s">
        <v>25</v>
      </c>
      <c r="N6" s="325" t="s">
        <v>26</v>
      </c>
      <c r="O6" s="113"/>
      <c r="P6" s="113"/>
      <c r="Q6" s="326"/>
      <c r="R6" s="279"/>
      <c r="S6" s="104"/>
      <c r="T6" s="104"/>
      <c r="U6" s="279"/>
      <c r="V6" s="279"/>
      <c r="W6" s="279"/>
      <c r="X6" s="279"/>
      <c r="Y6" s="279"/>
    </row>
    <row r="7" s="103" customFormat="1" ht="18.75" customHeight="1" spans="1:25">
      <c r="A7" s="327" t="s">
        <v>27</v>
      </c>
      <c r="B7" s="328" t="s">
        <v>28</v>
      </c>
      <c r="C7" s="329" t="s">
        <v>29</v>
      </c>
      <c r="D7" s="330" t="s">
        <v>30</v>
      </c>
      <c r="E7" s="331"/>
      <c r="F7" s="329"/>
      <c r="G7" s="332"/>
      <c r="H7" s="332"/>
      <c r="I7" s="329" t="s">
        <v>31</v>
      </c>
      <c r="J7" s="178" t="s">
        <v>32</v>
      </c>
      <c r="K7" s="178" t="s">
        <v>33</v>
      </c>
      <c r="L7" s="333" t="s">
        <v>34</v>
      </c>
      <c r="M7" s="334" t="s">
        <v>35</v>
      </c>
      <c r="N7" s="335"/>
      <c r="O7" s="113"/>
      <c r="P7" s="113"/>
      <c r="Q7" s="107"/>
      <c r="R7" s="279"/>
      <c r="S7" s="104"/>
      <c r="T7" s="104"/>
      <c r="U7" s="279"/>
      <c r="V7" s="279"/>
      <c r="W7" s="279"/>
      <c r="X7" s="279"/>
      <c r="Y7" s="279"/>
    </row>
    <row r="8" s="105" customFormat="1" ht="15" customHeight="1" spans="1:25">
      <c r="A8" s="336"/>
      <c r="B8" s="337" t="s">
        <v>36</v>
      </c>
      <c r="C8" s="338"/>
      <c r="D8" s="339"/>
      <c r="E8" s="340" t="s">
        <v>37</v>
      </c>
      <c r="F8" s="338"/>
      <c r="G8" s="338"/>
      <c r="H8" s="341"/>
      <c r="I8" s="342"/>
      <c r="J8" s="188"/>
      <c r="K8" s="188"/>
      <c r="L8" s="343" t="s">
        <v>38</v>
      </c>
      <c r="M8" s="344" t="s">
        <v>55</v>
      </c>
      <c r="N8" s="335"/>
      <c r="O8" s="345"/>
      <c r="P8" s="345"/>
      <c r="Q8" s="346"/>
      <c r="R8" s="347"/>
      <c r="S8" s="106"/>
      <c r="T8" s="106"/>
      <c r="U8" s="347"/>
      <c r="V8" s="347"/>
      <c r="W8" s="347"/>
      <c r="X8" s="347"/>
      <c r="Y8" s="347"/>
    </row>
    <row r="9" s="104" customFormat="1" ht="21.6" customHeight="1" spans="1:25">
      <c r="A9" s="348" t="s">
        <v>40</v>
      </c>
      <c r="B9" s="349"/>
      <c r="C9" s="349"/>
      <c r="D9" s="349"/>
      <c r="E9" s="349"/>
      <c r="F9" s="349"/>
      <c r="G9" s="349"/>
      <c r="H9" s="349"/>
      <c r="I9" s="350"/>
      <c r="J9" s="351"/>
      <c r="K9" s="351"/>
      <c r="L9" s="352">
        <v>22220976.69</v>
      </c>
      <c r="M9" s="353"/>
      <c r="N9" s="335"/>
      <c r="O9" s="113"/>
      <c r="P9" s="113"/>
      <c r="Q9" s="279"/>
      <c r="R9" s="279"/>
      <c r="U9" s="279"/>
      <c r="V9" s="279"/>
      <c r="W9" s="279"/>
      <c r="X9" s="279"/>
      <c r="Y9" s="279"/>
    </row>
    <row r="10" s="104" customFormat="1" ht="21.6" customHeight="1" spans="1:25">
      <c r="A10" s="354" t="s">
        <v>41</v>
      </c>
      <c r="B10" s="355"/>
      <c r="C10" s="355"/>
      <c r="D10" s="355"/>
      <c r="E10" s="355"/>
      <c r="F10" s="355"/>
      <c r="G10" s="355"/>
      <c r="H10" s="355"/>
      <c r="I10" s="356"/>
      <c r="J10" s="357">
        <f>SUM(J11:J334)</f>
        <v>0</v>
      </c>
      <c r="K10" s="357">
        <f>SUM(K11:K334)</f>
        <v>0</v>
      </c>
      <c r="L10" s="358">
        <f>+L9+J10-K10</f>
        <v>22220976.69</v>
      </c>
      <c r="M10" s="359"/>
      <c r="N10" s="360"/>
      <c r="O10" s="113" t="s">
        <v>42</v>
      </c>
      <c r="P10" s="361" t="s">
        <v>56</v>
      </c>
      <c r="Q10" s="279"/>
      <c r="R10" s="347" t="s">
        <v>57</v>
      </c>
      <c r="S10" s="347" t="s">
        <v>58</v>
      </c>
      <c r="T10" s="347" t="s">
        <v>43</v>
      </c>
      <c r="U10" s="347" t="s">
        <v>44</v>
      </c>
      <c r="V10" s="347" t="s">
        <v>45</v>
      </c>
      <c r="W10" s="279" t="s">
        <v>29</v>
      </c>
      <c r="X10" s="347"/>
      <c r="Y10" s="279"/>
    </row>
    <row r="11" s="104" customFormat="1" ht="24" customHeight="1" spans="1:25">
      <c r="A11" s="362"/>
      <c r="B11" s="363"/>
      <c r="C11" s="364"/>
      <c r="D11" s="365"/>
      <c r="E11" s="366" t="str">
        <f>IF(D11="","",VLOOKUP(D11,'[4]Account Code'!$A$3:$D$273,2,0))</f>
        <v/>
      </c>
      <c r="F11" s="367"/>
      <c r="G11" s="368"/>
      <c r="H11" s="368"/>
      <c r="I11" s="369">
        <f>IFERROR(VLOOKUP(O11,[4]CREDITORS!A:B,2,0),"")</f>
        <v>0</v>
      </c>
      <c r="J11" s="370"/>
      <c r="K11" s="370"/>
      <c r="L11" s="371">
        <f>L9+J11-K11</f>
        <v>22220976.69</v>
      </c>
      <c r="M11" s="372"/>
      <c r="N11" s="373"/>
      <c r="O11" s="345"/>
      <c r="P11" s="345"/>
      <c r="Q11" s="347">
        <f t="shared" ref="Q11:Q33" si="0">(LEN(C11))</f>
        <v>0</v>
      </c>
      <c r="R11" s="279"/>
      <c r="S11" s="279"/>
      <c r="T11" s="279"/>
      <c r="U11" s="279"/>
      <c r="V11" s="279"/>
      <c r="W11" s="279"/>
      <c r="X11" s="279"/>
      <c r="Y11" s="279"/>
    </row>
    <row r="12" s="104" customFormat="1" ht="24" customHeight="1" spans="1:25">
      <c r="A12" s="362"/>
      <c r="B12" s="363"/>
      <c r="C12" s="364"/>
      <c r="D12" s="365"/>
      <c r="E12" s="366" t="str">
        <f>IF(D12="","",VLOOKUP(D12,'[4]Account Code'!$A$3:$D$273,2,0))</f>
        <v/>
      </c>
      <c r="F12" s="367"/>
      <c r="G12" s="368"/>
      <c r="H12" s="368"/>
      <c r="I12" s="369">
        <f>IFERROR(VLOOKUP(O12,[4]CREDITORS!A:B,2,0),"")</f>
        <v>0</v>
      </c>
      <c r="J12" s="370"/>
      <c r="K12" s="370"/>
      <c r="L12" s="371">
        <f t="shared" ref="L12:L75" si="1">L11+J12-K12</f>
        <v>22220976.69</v>
      </c>
      <c r="M12" s="372"/>
      <c r="N12" s="373"/>
      <c r="O12" s="345"/>
      <c r="P12" s="345"/>
      <c r="Q12" s="347">
        <f t="shared" si="0"/>
        <v>0</v>
      </c>
      <c r="R12" s="279"/>
      <c r="S12" s="279"/>
      <c r="T12" s="279"/>
      <c r="U12" s="279"/>
      <c r="V12" s="279"/>
      <c r="W12" s="279"/>
      <c r="X12" s="279"/>
      <c r="Y12" s="279"/>
    </row>
    <row r="13" s="104" customFormat="1" ht="24" customHeight="1" spans="1:25">
      <c r="A13" s="362"/>
      <c r="B13" s="363"/>
      <c r="C13" s="364"/>
      <c r="D13" s="365"/>
      <c r="E13" s="366" t="str">
        <f>IF(D13="","",VLOOKUP(D13,'[4]Account Code'!$A$3:$D$273,2,0))</f>
        <v/>
      </c>
      <c r="F13" s="367"/>
      <c r="G13" s="368"/>
      <c r="H13" s="368"/>
      <c r="I13" s="369">
        <f>IFERROR(VLOOKUP(O13,[4]CREDITORS!A:B,2,0),"")</f>
        <v>0</v>
      </c>
      <c r="J13" s="370"/>
      <c r="K13" s="370"/>
      <c r="L13" s="371">
        <f t="shared" si="1"/>
        <v>22220976.69</v>
      </c>
      <c r="M13" s="374"/>
      <c r="N13" s="373"/>
      <c r="O13" s="345"/>
      <c r="P13" s="345"/>
      <c r="Q13" s="347">
        <f t="shared" si="0"/>
        <v>0</v>
      </c>
      <c r="R13" s="279"/>
      <c r="S13" s="279"/>
      <c r="T13" s="279"/>
      <c r="U13" s="279"/>
      <c r="V13" s="279"/>
      <c r="W13" s="279"/>
      <c r="X13" s="279"/>
      <c r="Y13" s="279"/>
    </row>
    <row r="14" s="104" customFormat="1" ht="24" customHeight="1" spans="1:25">
      <c r="A14" s="362"/>
      <c r="B14" s="363"/>
      <c r="C14" s="364"/>
      <c r="D14" s="365"/>
      <c r="E14" s="366" t="str">
        <f>IF(D14="","",VLOOKUP(D14,'[4]Account Code'!$A$3:$D$273,2,0))</f>
        <v/>
      </c>
      <c r="F14" s="367"/>
      <c r="G14" s="368"/>
      <c r="H14" s="368"/>
      <c r="I14" s="369">
        <f>IFERROR(VLOOKUP(O14,[4]CREDITORS!A:B,2,0),"")</f>
        <v>0</v>
      </c>
      <c r="J14" s="370"/>
      <c r="K14" s="370"/>
      <c r="L14" s="371">
        <f t="shared" si="1"/>
        <v>22220976.69</v>
      </c>
      <c r="M14" s="372"/>
      <c r="N14" s="373"/>
      <c r="O14" s="345"/>
      <c r="P14" s="345"/>
      <c r="Q14" s="347">
        <f t="shared" si="0"/>
        <v>0</v>
      </c>
      <c r="R14" s="279"/>
      <c r="S14" s="279"/>
      <c r="T14" s="279"/>
      <c r="U14" s="279"/>
      <c r="V14" s="279"/>
      <c r="W14" s="279"/>
      <c r="X14" s="279"/>
      <c r="Y14" s="279"/>
    </row>
    <row r="15" s="104" customFormat="1" ht="24" customHeight="1" spans="1:25">
      <c r="A15" s="362"/>
      <c r="B15" s="363"/>
      <c r="C15" s="364"/>
      <c r="D15" s="365"/>
      <c r="E15" s="366" t="str">
        <f>IF(D15="","",VLOOKUP(D15,'[4]Account Code'!$A$3:$D$273,2,0))</f>
        <v/>
      </c>
      <c r="F15" s="367"/>
      <c r="G15" s="368"/>
      <c r="H15" s="368"/>
      <c r="I15" s="369">
        <f>IFERROR(VLOOKUP(O15,[4]CREDITORS!A:B,2,0),"")</f>
        <v>0</v>
      </c>
      <c r="J15" s="370"/>
      <c r="K15" s="370"/>
      <c r="L15" s="371">
        <f t="shared" si="1"/>
        <v>22220976.69</v>
      </c>
      <c r="M15" s="372"/>
      <c r="N15" s="373"/>
      <c r="O15" s="345"/>
      <c r="P15" s="345"/>
      <c r="Q15" s="347">
        <f t="shared" si="0"/>
        <v>0</v>
      </c>
      <c r="R15" s="279"/>
      <c r="S15" s="279"/>
      <c r="T15" s="279"/>
      <c r="U15" s="279"/>
      <c r="V15" s="279"/>
      <c r="W15" s="279"/>
      <c r="X15" s="279"/>
      <c r="Y15" s="279"/>
    </row>
    <row r="16" s="104" customFormat="1" ht="24" customHeight="1" spans="1:25">
      <c r="A16" s="362"/>
      <c r="B16" s="363"/>
      <c r="C16" s="364"/>
      <c r="D16" s="365"/>
      <c r="E16" s="366" t="str">
        <f>IF(D16="","",VLOOKUP(D16,'[4]Account Code'!$A$3:$D$273,2,0))</f>
        <v/>
      </c>
      <c r="F16" s="367"/>
      <c r="G16" s="368"/>
      <c r="H16" s="368"/>
      <c r="I16" s="369">
        <f>IFERROR(VLOOKUP(O16,[4]CREDITORS!A:B,2,0),"")</f>
        <v>0</v>
      </c>
      <c r="J16" s="370"/>
      <c r="K16" s="370"/>
      <c r="L16" s="371">
        <f t="shared" si="1"/>
        <v>22220976.69</v>
      </c>
      <c r="M16" s="372"/>
      <c r="N16" s="373"/>
      <c r="O16" s="345"/>
      <c r="P16" s="345"/>
      <c r="Q16" s="347">
        <f t="shared" si="0"/>
        <v>0</v>
      </c>
      <c r="R16" s="279"/>
      <c r="S16" s="279"/>
      <c r="T16" s="279"/>
      <c r="U16" s="279"/>
      <c r="V16" s="279"/>
      <c r="W16" s="279"/>
      <c r="X16" s="279"/>
      <c r="Y16" s="279"/>
    </row>
    <row r="17" s="104" customFormat="1" ht="26.25" customHeight="1" spans="1:25">
      <c r="A17" s="362"/>
      <c r="B17" s="363"/>
      <c r="C17" s="364"/>
      <c r="D17" s="365"/>
      <c r="E17" s="375" t="str">
        <f>IF(D17="","",VLOOKUP(D17,'[4]Account Code'!$A$3:$D$273,2,0))</f>
        <v/>
      </c>
      <c r="F17" s="367"/>
      <c r="G17" s="368"/>
      <c r="H17" s="368"/>
      <c r="I17" s="276">
        <f>IFERROR(VLOOKUP(O17,[4]CREDITORS!A:B,2,0),"")</f>
        <v>0</v>
      </c>
      <c r="J17" s="370"/>
      <c r="K17" s="370"/>
      <c r="L17" s="222">
        <f t="shared" si="1"/>
        <v>22220976.69</v>
      </c>
      <c r="M17" s="376"/>
      <c r="N17" s="373"/>
      <c r="O17" s="345"/>
      <c r="P17" s="345"/>
      <c r="Q17" s="347">
        <f t="shared" si="0"/>
        <v>0</v>
      </c>
      <c r="R17" s="279"/>
      <c r="S17" s="279"/>
      <c r="T17" s="279"/>
      <c r="U17" s="279"/>
      <c r="V17" s="279"/>
      <c r="W17" s="279"/>
      <c r="X17" s="279"/>
      <c r="Y17" s="279"/>
    </row>
    <row r="18" s="104" customFormat="1" ht="24" customHeight="1" spans="1:25">
      <c r="A18" s="362"/>
      <c r="B18" s="363"/>
      <c r="C18" s="364"/>
      <c r="D18" s="365"/>
      <c r="E18" s="366" t="str">
        <f>IF(D18="","",VLOOKUP(D18,'[4]Account Code'!$A$3:$D$273,2,0))</f>
        <v/>
      </c>
      <c r="F18" s="367"/>
      <c r="G18" s="368"/>
      <c r="H18" s="368"/>
      <c r="I18" s="369">
        <f>IFERROR(VLOOKUP(O18,[4]CREDITORS!A:B,2,0),"")</f>
        <v>0</v>
      </c>
      <c r="J18" s="370"/>
      <c r="K18" s="370"/>
      <c r="L18" s="371">
        <f t="shared" si="1"/>
        <v>22220976.69</v>
      </c>
      <c r="M18" s="372"/>
      <c r="N18" s="373"/>
      <c r="O18" s="345"/>
      <c r="P18" s="345"/>
      <c r="Q18" s="347">
        <f t="shared" si="0"/>
        <v>0</v>
      </c>
      <c r="R18" s="279"/>
      <c r="S18" s="279"/>
      <c r="T18" s="279"/>
      <c r="U18" s="279"/>
      <c r="V18" s="279"/>
      <c r="W18" s="279"/>
      <c r="X18" s="279"/>
      <c r="Y18" s="279"/>
    </row>
    <row r="19" s="104" customFormat="1" ht="24" customHeight="1" spans="1:25">
      <c r="A19" s="362"/>
      <c r="B19" s="363"/>
      <c r="C19" s="364"/>
      <c r="D19" s="365"/>
      <c r="E19" s="366" t="str">
        <f>IF(D19="","",VLOOKUP(D19,'[4]Account Code'!$A$3:$D$273,2,0))</f>
        <v/>
      </c>
      <c r="F19" s="367"/>
      <c r="G19" s="368"/>
      <c r="H19" s="368"/>
      <c r="I19" s="369">
        <f>IFERROR(VLOOKUP(O19,[4]CREDITORS!A:B,2,0),"")</f>
        <v>0</v>
      </c>
      <c r="J19" s="370"/>
      <c r="K19" s="370"/>
      <c r="L19" s="371">
        <f t="shared" si="1"/>
        <v>22220976.69</v>
      </c>
      <c r="M19" s="372"/>
      <c r="N19" s="373"/>
      <c r="O19" s="345"/>
      <c r="P19" s="345"/>
      <c r="Q19" s="347">
        <f t="shared" si="0"/>
        <v>0</v>
      </c>
      <c r="R19" s="279"/>
      <c r="S19" s="279"/>
      <c r="T19" s="279"/>
      <c r="U19" s="279"/>
      <c r="V19" s="279"/>
      <c r="W19" s="279"/>
      <c r="X19" s="279"/>
      <c r="Y19" s="279"/>
    </row>
    <row r="20" s="104" customFormat="1" ht="24" customHeight="1" spans="1:25">
      <c r="A20" s="362"/>
      <c r="B20" s="363"/>
      <c r="C20" s="364"/>
      <c r="D20" s="365"/>
      <c r="E20" s="366" t="str">
        <f>IF(D20="","",VLOOKUP(D20,'[4]Account Code'!$A$3:$D$273,2,0))</f>
        <v/>
      </c>
      <c r="F20" s="367"/>
      <c r="G20" s="368"/>
      <c r="H20" s="368"/>
      <c r="I20" s="369">
        <f>IFERROR(VLOOKUP(O20,[4]CREDITORS!A:B,2,0),"")</f>
        <v>0</v>
      </c>
      <c r="J20" s="370"/>
      <c r="K20" s="370"/>
      <c r="L20" s="371">
        <f t="shared" si="1"/>
        <v>22220976.69</v>
      </c>
      <c r="M20" s="372"/>
      <c r="N20" s="373"/>
      <c r="O20" s="345"/>
      <c r="P20" s="345"/>
      <c r="Q20" s="347">
        <f t="shared" si="0"/>
        <v>0</v>
      </c>
      <c r="R20" s="279"/>
      <c r="S20" s="279"/>
      <c r="T20" s="279"/>
      <c r="U20" s="279"/>
      <c r="V20" s="279"/>
      <c r="W20" s="279"/>
      <c r="X20" s="279"/>
      <c r="Y20" s="279"/>
    </row>
    <row r="21" s="104" customFormat="1" ht="24" customHeight="1" spans="1:25">
      <c r="A21" s="362"/>
      <c r="B21" s="363"/>
      <c r="C21" s="364"/>
      <c r="D21" s="365"/>
      <c r="E21" s="366" t="str">
        <f>IF(D21="","",VLOOKUP(D21,'[4]Account Code'!$A$3:$D$273,2,0))</f>
        <v/>
      </c>
      <c r="F21" s="367"/>
      <c r="G21" s="368"/>
      <c r="H21" s="368"/>
      <c r="I21" s="369">
        <f>IFERROR(VLOOKUP(O21,[4]CREDITORS!A:B,2,0),"")</f>
        <v>0</v>
      </c>
      <c r="J21" s="370"/>
      <c r="K21" s="370"/>
      <c r="L21" s="371">
        <f t="shared" si="1"/>
        <v>22220976.69</v>
      </c>
      <c r="M21" s="372"/>
      <c r="N21" s="373"/>
      <c r="O21" s="345"/>
      <c r="P21" s="345"/>
      <c r="Q21" s="347">
        <f t="shared" si="0"/>
        <v>0</v>
      </c>
      <c r="R21" s="279"/>
      <c r="S21" s="279"/>
      <c r="T21" s="279"/>
      <c r="U21" s="279"/>
      <c r="V21" s="279"/>
      <c r="W21" s="279"/>
      <c r="X21" s="279"/>
      <c r="Y21" s="279"/>
    </row>
    <row r="22" s="104" customFormat="1" ht="24" customHeight="1" spans="1:25">
      <c r="A22" s="362"/>
      <c r="B22" s="363"/>
      <c r="C22" s="364"/>
      <c r="D22" s="365"/>
      <c r="E22" s="366" t="str">
        <f>IF(D22="","",VLOOKUP(D22,'[4]Account Code'!$A$3:$D$273,2,0))</f>
        <v/>
      </c>
      <c r="F22" s="367"/>
      <c r="G22" s="368"/>
      <c r="H22" s="368"/>
      <c r="I22" s="369">
        <f>IFERROR(VLOOKUP(O22,[4]CREDITORS!A:B,2,0),"")</f>
        <v>0</v>
      </c>
      <c r="J22" s="370"/>
      <c r="K22" s="370"/>
      <c r="L22" s="371">
        <f t="shared" si="1"/>
        <v>22220976.69</v>
      </c>
      <c r="M22" s="372"/>
      <c r="N22" s="373"/>
      <c r="O22" s="345"/>
      <c r="P22" s="345"/>
      <c r="Q22" s="347">
        <f t="shared" si="0"/>
        <v>0</v>
      </c>
      <c r="R22" s="279"/>
      <c r="S22" s="279"/>
      <c r="T22" s="279"/>
      <c r="U22" s="279"/>
      <c r="V22" s="279"/>
      <c r="W22" s="279"/>
      <c r="X22" s="279"/>
      <c r="Y22" s="279"/>
    </row>
    <row r="23" s="104" customFormat="1" ht="24" customHeight="1" spans="1:25">
      <c r="A23" s="362"/>
      <c r="B23" s="363"/>
      <c r="C23" s="364"/>
      <c r="D23" s="365"/>
      <c r="E23" s="366" t="str">
        <f>IF(D23="","",VLOOKUP(D23,'[4]Account Code'!$A$3:$D$273,2,0))</f>
        <v/>
      </c>
      <c r="F23" s="367"/>
      <c r="G23" s="368"/>
      <c r="H23" s="368"/>
      <c r="I23" s="369">
        <f>IFERROR(VLOOKUP(O23,[4]CREDITORS!A:B,2,0),"")</f>
        <v>0</v>
      </c>
      <c r="J23" s="370"/>
      <c r="K23" s="370"/>
      <c r="L23" s="371">
        <f t="shared" si="1"/>
        <v>22220976.69</v>
      </c>
      <c r="M23" s="372"/>
      <c r="N23" s="373"/>
      <c r="O23" s="345"/>
      <c r="P23" s="345"/>
      <c r="Q23" s="347">
        <f t="shared" si="0"/>
        <v>0</v>
      </c>
      <c r="R23" s="279"/>
      <c r="S23" s="279"/>
      <c r="T23" s="279"/>
      <c r="U23" s="279"/>
      <c r="V23" s="279"/>
      <c r="W23" s="279"/>
      <c r="X23" s="279"/>
      <c r="Y23" s="279"/>
    </row>
    <row r="24" s="104" customFormat="1" ht="24" customHeight="1" spans="1:25">
      <c r="A24" s="362"/>
      <c r="B24" s="363"/>
      <c r="C24" s="364"/>
      <c r="D24" s="365"/>
      <c r="E24" s="366" t="str">
        <f>IF(D24="","",VLOOKUP(D24,'[4]Account Code'!$A$3:$D$273,2,0))</f>
        <v/>
      </c>
      <c r="F24" s="367"/>
      <c r="G24" s="368"/>
      <c r="H24" s="368"/>
      <c r="I24" s="369">
        <f>IFERROR(VLOOKUP(O24,[4]CREDITORS!A:B,2,0),"")</f>
        <v>0</v>
      </c>
      <c r="J24" s="370"/>
      <c r="K24" s="370"/>
      <c r="L24" s="371">
        <f t="shared" si="1"/>
        <v>22220976.69</v>
      </c>
      <c r="M24" s="372"/>
      <c r="N24" s="373"/>
      <c r="O24" s="345"/>
      <c r="P24" s="345"/>
      <c r="Q24" s="347">
        <f t="shared" si="0"/>
        <v>0</v>
      </c>
      <c r="R24" s="279"/>
      <c r="S24" s="279"/>
      <c r="T24" s="279"/>
      <c r="U24" s="279"/>
      <c r="V24" s="279"/>
      <c r="W24" s="279"/>
      <c r="X24" s="279"/>
      <c r="Y24" s="279"/>
    </row>
    <row r="25" s="104" customFormat="1" ht="24" customHeight="1" spans="1:25">
      <c r="A25" s="362"/>
      <c r="B25" s="363"/>
      <c r="C25" s="364"/>
      <c r="D25" s="365"/>
      <c r="E25" s="366" t="str">
        <f>IF(D25="","",VLOOKUP(D25,'[4]Account Code'!$A$3:$D$273,2,0))</f>
        <v/>
      </c>
      <c r="F25" s="367"/>
      <c r="G25" s="368"/>
      <c r="H25" s="368"/>
      <c r="I25" s="369">
        <f>IFERROR(VLOOKUP(O25,[4]CREDITORS!A:B,2,0),"")</f>
        <v>0</v>
      </c>
      <c r="J25" s="370"/>
      <c r="K25" s="370"/>
      <c r="L25" s="371">
        <f t="shared" si="1"/>
        <v>22220976.69</v>
      </c>
      <c r="M25" s="372"/>
      <c r="N25" s="373"/>
      <c r="O25" s="345"/>
      <c r="P25" s="345"/>
      <c r="Q25" s="347">
        <f t="shared" si="0"/>
        <v>0</v>
      </c>
      <c r="R25" s="279"/>
      <c r="S25" s="279"/>
      <c r="T25" s="279"/>
      <c r="U25" s="279"/>
      <c r="V25" s="279"/>
      <c r="W25" s="279"/>
      <c r="X25" s="279"/>
      <c r="Y25" s="279"/>
    </row>
    <row r="26" s="104" customFormat="1" ht="24" customHeight="1" spans="1:25">
      <c r="A26" s="362"/>
      <c r="B26" s="363"/>
      <c r="C26" s="364"/>
      <c r="D26" s="365"/>
      <c r="E26" s="366" t="str">
        <f>IF(D26="","",VLOOKUP(D26,'[4]Account Code'!$A$3:$D$273,2,0))</f>
        <v/>
      </c>
      <c r="F26" s="367"/>
      <c r="G26" s="368"/>
      <c r="H26" s="368"/>
      <c r="I26" s="369">
        <f>IFERROR(VLOOKUP(O26,[4]CREDITORS!A:B,2,0),"")</f>
        <v>0</v>
      </c>
      <c r="J26" s="370"/>
      <c r="K26" s="370"/>
      <c r="L26" s="371">
        <f t="shared" si="1"/>
        <v>22220976.69</v>
      </c>
      <c r="M26" s="372"/>
      <c r="N26" s="373"/>
      <c r="O26" s="345"/>
      <c r="P26" s="345"/>
      <c r="Q26" s="347">
        <f t="shared" si="0"/>
        <v>0</v>
      </c>
      <c r="R26" s="279"/>
      <c r="S26" s="279"/>
      <c r="T26" s="279"/>
      <c r="U26" s="279"/>
      <c r="V26" s="279"/>
      <c r="W26" s="279"/>
      <c r="X26" s="279"/>
      <c r="Y26" s="279"/>
    </row>
    <row r="27" s="104" customFormat="1" ht="24" customHeight="1" spans="1:25">
      <c r="A27" s="362"/>
      <c r="B27" s="363"/>
      <c r="C27" s="364"/>
      <c r="D27" s="365"/>
      <c r="E27" s="366" t="str">
        <f>IF(D27="","",VLOOKUP(D27,'[4]Account Code'!$A$3:$D$273,2,0))</f>
        <v/>
      </c>
      <c r="F27" s="367"/>
      <c r="G27" s="368"/>
      <c r="H27" s="368"/>
      <c r="I27" s="369">
        <f>IFERROR(VLOOKUP(O27,[4]CREDITORS!A:B,2,0),"")</f>
        <v>0</v>
      </c>
      <c r="J27" s="370"/>
      <c r="K27" s="370"/>
      <c r="L27" s="371">
        <f t="shared" si="1"/>
        <v>22220976.69</v>
      </c>
      <c r="M27" s="376"/>
      <c r="N27" s="373"/>
      <c r="O27" s="345"/>
      <c r="P27" s="345"/>
      <c r="Q27" s="347">
        <f t="shared" si="0"/>
        <v>0</v>
      </c>
      <c r="R27" s="279"/>
      <c r="S27" s="279"/>
      <c r="T27" s="279"/>
      <c r="U27" s="279"/>
      <c r="V27" s="279"/>
      <c r="W27" s="279"/>
      <c r="X27" s="279"/>
      <c r="Y27" s="279"/>
    </row>
    <row r="28" s="104" customFormat="1" ht="24" customHeight="1" spans="1:25">
      <c r="A28" s="362"/>
      <c r="B28" s="363"/>
      <c r="C28" s="364"/>
      <c r="D28" s="365"/>
      <c r="E28" s="366" t="str">
        <f>IF(D28="","",VLOOKUP(D28,'[4]Account Code'!$A$3:$D$273,2,0))</f>
        <v/>
      </c>
      <c r="F28" s="367"/>
      <c r="G28" s="368"/>
      <c r="H28" s="368"/>
      <c r="I28" s="369">
        <f>IFERROR(VLOOKUP(O28,[4]CREDITORS!A:B,2,0),"")</f>
        <v>0</v>
      </c>
      <c r="J28" s="370"/>
      <c r="K28" s="370"/>
      <c r="L28" s="371">
        <f t="shared" si="1"/>
        <v>22220976.69</v>
      </c>
      <c r="M28" s="377"/>
      <c r="N28" s="373"/>
      <c r="O28" s="345"/>
      <c r="P28" s="345"/>
      <c r="Q28" s="347">
        <f t="shared" si="0"/>
        <v>0</v>
      </c>
      <c r="R28" s="279"/>
      <c r="S28" s="279"/>
      <c r="T28" s="279"/>
      <c r="U28" s="279"/>
      <c r="V28" s="279"/>
      <c r="W28" s="279"/>
      <c r="X28" s="279"/>
      <c r="Y28" s="279"/>
    </row>
    <row r="29" s="104" customFormat="1" ht="24" customHeight="1" spans="1:25">
      <c r="A29" s="362"/>
      <c r="B29" s="363"/>
      <c r="C29" s="364"/>
      <c r="D29" s="365"/>
      <c r="E29" s="366" t="str">
        <f>IF(D29="","",VLOOKUP(D29,'[4]Account Code'!$A$3:$D$273,2,0))</f>
        <v/>
      </c>
      <c r="F29" s="367"/>
      <c r="G29" s="368"/>
      <c r="H29" s="368"/>
      <c r="I29" s="369">
        <f>IFERROR(VLOOKUP(O29,[4]CREDITORS!A:B,2,0),"")</f>
        <v>0</v>
      </c>
      <c r="J29" s="370"/>
      <c r="K29" s="370"/>
      <c r="L29" s="371">
        <f t="shared" si="1"/>
        <v>22220976.69</v>
      </c>
      <c r="M29" s="372"/>
      <c r="N29" s="373"/>
      <c r="O29" s="345"/>
      <c r="P29" s="345"/>
      <c r="Q29" s="347">
        <f t="shared" si="0"/>
        <v>0</v>
      </c>
      <c r="R29" s="279"/>
      <c r="S29" s="279"/>
      <c r="T29" s="279"/>
      <c r="U29" s="279"/>
      <c r="V29" s="279"/>
      <c r="W29" s="279"/>
      <c r="X29" s="279"/>
      <c r="Y29" s="279"/>
    </row>
    <row r="30" s="104" customFormat="1" ht="24" customHeight="1" spans="1:25">
      <c r="A30" s="362"/>
      <c r="B30" s="363"/>
      <c r="C30" s="364"/>
      <c r="D30" s="365"/>
      <c r="E30" s="366" t="str">
        <f>IF(D30="","",VLOOKUP(D30,'[4]Account Code'!$A$3:$D$273,2,0))</f>
        <v/>
      </c>
      <c r="F30" s="367"/>
      <c r="G30" s="368"/>
      <c r="H30" s="368"/>
      <c r="I30" s="369">
        <f>IFERROR(VLOOKUP(O30,[4]CREDITORS!A:B,2,0),"")</f>
        <v>0</v>
      </c>
      <c r="J30" s="370"/>
      <c r="K30" s="370"/>
      <c r="L30" s="371">
        <f t="shared" si="1"/>
        <v>22220976.69</v>
      </c>
      <c r="M30" s="372"/>
      <c r="N30" s="373"/>
      <c r="O30" s="345"/>
      <c r="P30" s="345"/>
      <c r="Q30" s="347">
        <f t="shared" si="0"/>
        <v>0</v>
      </c>
      <c r="R30" s="279"/>
      <c r="S30" s="279"/>
      <c r="T30" s="279"/>
      <c r="U30" s="279"/>
      <c r="V30" s="279"/>
      <c r="W30" s="279"/>
      <c r="X30" s="279"/>
      <c r="Y30" s="279"/>
    </row>
    <row r="31" s="104" customFormat="1" ht="24" customHeight="1" spans="1:25">
      <c r="A31" s="362"/>
      <c r="B31" s="363"/>
      <c r="C31" s="364"/>
      <c r="D31" s="365"/>
      <c r="E31" s="366" t="str">
        <f>IF(D31="","",VLOOKUP(D31,'[4]Account Code'!$A$3:$D$273,2,0))</f>
        <v/>
      </c>
      <c r="F31" s="367"/>
      <c r="G31" s="368"/>
      <c r="H31" s="368"/>
      <c r="I31" s="369">
        <f>IFERROR(VLOOKUP(O31,[4]CREDITORS!A:B,2,0),"")</f>
        <v>0</v>
      </c>
      <c r="J31" s="370"/>
      <c r="K31" s="370"/>
      <c r="L31" s="371">
        <f t="shared" si="1"/>
        <v>22220976.69</v>
      </c>
      <c r="M31" s="372"/>
      <c r="N31" s="373"/>
      <c r="O31" s="345"/>
      <c r="P31" s="345"/>
      <c r="Q31" s="347">
        <f t="shared" si="0"/>
        <v>0</v>
      </c>
      <c r="R31" s="279"/>
      <c r="S31" s="279"/>
      <c r="T31" s="279"/>
      <c r="U31" s="279"/>
      <c r="V31" s="279"/>
      <c r="W31" s="279"/>
      <c r="X31" s="279"/>
      <c r="Y31" s="279"/>
    </row>
    <row r="32" s="104" customFormat="1" ht="24" customHeight="1" spans="1:25">
      <c r="A32" s="362"/>
      <c r="B32" s="363"/>
      <c r="C32" s="364"/>
      <c r="D32" s="365"/>
      <c r="E32" s="366" t="str">
        <f>IF(D32="","",VLOOKUP(D32,'[4]Account Code'!$A$3:$D$273,2,0))</f>
        <v/>
      </c>
      <c r="F32" s="367"/>
      <c r="G32" s="368"/>
      <c r="H32" s="368"/>
      <c r="I32" s="369">
        <f>IFERROR(VLOOKUP(O32,[4]CREDITORS!A:B,2,0),"")</f>
        <v>0</v>
      </c>
      <c r="J32" s="370"/>
      <c r="K32" s="370"/>
      <c r="L32" s="371">
        <f t="shared" si="1"/>
        <v>22220976.69</v>
      </c>
      <c r="M32" s="372"/>
      <c r="N32" s="373"/>
      <c r="O32" s="345"/>
      <c r="P32" s="345"/>
      <c r="Q32" s="347">
        <f t="shared" si="0"/>
        <v>0</v>
      </c>
      <c r="R32" s="279"/>
      <c r="S32" s="279"/>
      <c r="T32" s="279"/>
      <c r="U32" s="279"/>
      <c r="V32" s="279"/>
      <c r="W32" s="279"/>
      <c r="X32" s="279"/>
      <c r="Y32" s="279"/>
    </row>
    <row r="33" s="104" customFormat="1" ht="24" customHeight="1" spans="1:25">
      <c r="A33" s="362"/>
      <c r="B33" s="363"/>
      <c r="C33" s="364"/>
      <c r="D33" s="365"/>
      <c r="E33" s="366" t="str">
        <f>IF(D33="","",VLOOKUP(D33,'[4]Account Code'!$A$3:$D$273,2,0))</f>
        <v/>
      </c>
      <c r="F33" s="367"/>
      <c r="G33" s="368"/>
      <c r="H33" s="368"/>
      <c r="I33" s="369">
        <f>IFERROR(VLOOKUP(O33,[4]CREDITORS!A:B,2,0),"")</f>
        <v>0</v>
      </c>
      <c r="J33" s="370"/>
      <c r="K33" s="370"/>
      <c r="L33" s="371">
        <f t="shared" si="1"/>
        <v>22220976.69</v>
      </c>
      <c r="M33" s="372"/>
      <c r="N33" s="373"/>
      <c r="O33" s="345"/>
      <c r="P33" s="345"/>
      <c r="Q33" s="347">
        <f t="shared" si="0"/>
        <v>0</v>
      </c>
      <c r="R33" s="279"/>
      <c r="S33" s="279"/>
      <c r="T33" s="279"/>
      <c r="U33" s="279"/>
      <c r="V33" s="279"/>
      <c r="W33" s="279"/>
      <c r="X33" s="279"/>
      <c r="Y33" s="279"/>
    </row>
    <row r="34" s="104" customFormat="1" ht="24" customHeight="1" spans="1:25">
      <c r="A34" s="362"/>
      <c r="B34" s="363"/>
      <c r="C34" s="364"/>
      <c r="D34" s="365"/>
      <c r="E34" s="366" t="str">
        <f>IF(D35="","",VLOOKUP(D35,'[4]Account Code'!$A$3:$D$273,2,0))</f>
        <v/>
      </c>
      <c r="F34" s="367"/>
      <c r="G34" s="368"/>
      <c r="H34" s="368"/>
      <c r="I34" s="369">
        <f>IFERROR(VLOOKUP(O34,[4]CREDITORS!A:B,2,0),"")</f>
        <v>0</v>
      </c>
      <c r="J34" s="370"/>
      <c r="K34" s="370"/>
      <c r="L34" s="371">
        <f t="shared" si="1"/>
        <v>22220976.69</v>
      </c>
      <c r="M34" s="372"/>
      <c r="N34" s="373"/>
      <c r="O34" s="345"/>
      <c r="P34" s="345"/>
      <c r="Q34" s="347">
        <f>(LEN(C35))</f>
        <v>0</v>
      </c>
      <c r="R34" s="279"/>
      <c r="S34" s="279"/>
      <c r="T34" s="279"/>
      <c r="U34" s="279"/>
      <c r="V34" s="279"/>
      <c r="W34" s="279"/>
      <c r="X34" s="279"/>
      <c r="Y34" s="279"/>
    </row>
    <row r="35" s="104" customFormat="1" ht="24" customHeight="1" spans="1:25">
      <c r="A35" s="362"/>
      <c r="B35" s="363"/>
      <c r="C35" s="364"/>
      <c r="D35" s="365"/>
      <c r="E35" s="366" t="str">
        <f>IF(D34="","",VLOOKUP(D34,'[4]Account Code'!$A$3:$D$273,2,0))</f>
        <v/>
      </c>
      <c r="F35" s="367"/>
      <c r="G35" s="368"/>
      <c r="H35" s="368"/>
      <c r="I35" s="369">
        <f>IFERROR(VLOOKUP(O35,[4]CREDITORS!A:B,2,0),"")</f>
        <v>0</v>
      </c>
      <c r="J35" s="370"/>
      <c r="K35" s="370"/>
      <c r="L35" s="371">
        <f t="shared" si="1"/>
        <v>22220976.69</v>
      </c>
      <c r="M35" s="372"/>
      <c r="N35" s="373"/>
      <c r="O35" s="345"/>
      <c r="P35" s="345"/>
      <c r="Q35" s="347">
        <f>(LEN(C34))</f>
        <v>0</v>
      </c>
      <c r="R35" s="279"/>
      <c r="S35" s="279"/>
      <c r="T35" s="279"/>
      <c r="U35" s="279"/>
      <c r="V35" s="279"/>
      <c r="W35" s="279"/>
      <c r="X35" s="279"/>
      <c r="Y35" s="279"/>
    </row>
    <row r="36" s="104" customFormat="1" ht="24" customHeight="1" spans="1:25">
      <c r="A36" s="362"/>
      <c r="B36" s="363"/>
      <c r="C36" s="364"/>
      <c r="D36" s="365"/>
      <c r="E36" s="366" t="str">
        <f>IF(D36="","",VLOOKUP(D36,'[4]Account Code'!$A$3:$D$273,2,0))</f>
        <v/>
      </c>
      <c r="F36" s="367"/>
      <c r="G36" s="368"/>
      <c r="H36" s="368"/>
      <c r="I36" s="369">
        <f>IFERROR(VLOOKUP(O36,[4]CREDITORS!A:B,2,0),"")</f>
        <v>0</v>
      </c>
      <c r="J36" s="370"/>
      <c r="K36" s="370"/>
      <c r="L36" s="371">
        <f t="shared" si="1"/>
        <v>22220976.69</v>
      </c>
      <c r="M36" s="372"/>
      <c r="N36" s="373"/>
      <c r="O36" s="345"/>
      <c r="P36" s="345"/>
      <c r="Q36" s="347">
        <f t="shared" ref="Q36:Q52" si="2">(LEN(C36))</f>
        <v>0</v>
      </c>
      <c r="R36" s="279"/>
      <c r="S36" s="279"/>
      <c r="T36" s="279"/>
      <c r="U36" s="279"/>
      <c r="V36" s="279"/>
      <c r="W36" s="279"/>
      <c r="X36" s="279"/>
      <c r="Y36" s="279"/>
    </row>
    <row r="37" s="104" customFormat="1" ht="24" customHeight="1" spans="1:25">
      <c r="A37" s="362"/>
      <c r="B37" s="363"/>
      <c r="C37" s="364"/>
      <c r="D37" s="365"/>
      <c r="E37" s="366" t="str">
        <f>IF(D37="","",VLOOKUP(D37,'[4]Account Code'!$A$3:$D$273,2,0))</f>
        <v/>
      </c>
      <c r="F37" s="367"/>
      <c r="G37" s="368"/>
      <c r="H37" s="368"/>
      <c r="I37" s="369">
        <f>IFERROR(VLOOKUP(O37,[4]CREDITORS!A:B,2,0),"")</f>
        <v>0</v>
      </c>
      <c r="J37" s="370"/>
      <c r="K37" s="370"/>
      <c r="L37" s="371">
        <f t="shared" si="1"/>
        <v>22220976.69</v>
      </c>
      <c r="M37" s="372"/>
      <c r="N37" s="373"/>
      <c r="O37" s="345"/>
      <c r="P37" s="345"/>
      <c r="Q37" s="347">
        <f t="shared" si="2"/>
        <v>0</v>
      </c>
      <c r="R37" s="279"/>
      <c r="S37" s="279"/>
      <c r="T37" s="279"/>
      <c r="U37" s="279"/>
      <c r="V37" s="279"/>
      <c r="W37" s="279"/>
      <c r="X37" s="279"/>
      <c r="Y37" s="279"/>
    </row>
    <row r="38" s="104" customFormat="1" ht="24" customHeight="1" spans="1:25">
      <c r="A38" s="362"/>
      <c r="B38" s="363"/>
      <c r="C38" s="364"/>
      <c r="D38" s="365"/>
      <c r="E38" s="366" t="str">
        <f>IF(D38="","",VLOOKUP(D38,'[4]Account Code'!$A$3:$D$273,2,0))</f>
        <v/>
      </c>
      <c r="F38" s="367"/>
      <c r="G38" s="368"/>
      <c r="H38" s="368"/>
      <c r="I38" s="369">
        <f>IFERROR(VLOOKUP(O38,[4]CREDITORS!A:B,2,0),"")</f>
        <v>0</v>
      </c>
      <c r="J38" s="370"/>
      <c r="K38" s="370"/>
      <c r="L38" s="371">
        <f t="shared" si="1"/>
        <v>22220976.69</v>
      </c>
      <c r="M38" s="372"/>
      <c r="N38" s="373"/>
      <c r="O38" s="345"/>
      <c r="P38" s="345"/>
      <c r="Q38" s="347">
        <f t="shared" si="2"/>
        <v>0</v>
      </c>
      <c r="R38" s="279"/>
      <c r="S38" s="279"/>
      <c r="T38" s="279"/>
      <c r="U38" s="279"/>
      <c r="V38" s="279"/>
      <c r="W38" s="279"/>
      <c r="X38" s="279"/>
      <c r="Y38" s="279"/>
    </row>
    <row r="39" s="104" customFormat="1" ht="24" customHeight="1" spans="1:25">
      <c r="A39" s="362"/>
      <c r="B39" s="363"/>
      <c r="C39" s="364"/>
      <c r="D39" s="365"/>
      <c r="E39" s="366" t="str">
        <f>IF(D39="","",VLOOKUP(D39,'[4]Account Code'!$A$3:$D$273,2,0))</f>
        <v/>
      </c>
      <c r="F39" s="367"/>
      <c r="G39" s="368"/>
      <c r="H39" s="368"/>
      <c r="I39" s="369">
        <f>IFERROR(VLOOKUP(O39,[4]CREDITORS!A:B,2,0),"")</f>
        <v>0</v>
      </c>
      <c r="J39" s="370"/>
      <c r="K39" s="370"/>
      <c r="L39" s="371">
        <f t="shared" si="1"/>
        <v>22220976.69</v>
      </c>
      <c r="M39" s="372"/>
      <c r="N39" s="373"/>
      <c r="O39" s="345"/>
      <c r="P39" s="345"/>
      <c r="Q39" s="347">
        <f t="shared" si="2"/>
        <v>0</v>
      </c>
      <c r="R39" s="378"/>
      <c r="S39" s="279"/>
      <c r="T39" s="279"/>
      <c r="U39" s="279"/>
      <c r="V39" s="279"/>
      <c r="W39" s="279"/>
      <c r="X39" s="279"/>
      <c r="Y39" s="279"/>
    </row>
    <row r="40" s="104" customFormat="1" ht="24" customHeight="1" spans="1:25">
      <c r="A40" s="362"/>
      <c r="B40" s="363"/>
      <c r="C40" s="364"/>
      <c r="D40" s="365"/>
      <c r="E40" s="366" t="str">
        <f>IF(D40="","",VLOOKUP(D40,'[4]Account Code'!$A$3:$D$273,2,0))</f>
        <v/>
      </c>
      <c r="F40" s="367"/>
      <c r="G40" s="368"/>
      <c r="H40" s="368"/>
      <c r="I40" s="369">
        <f>IFERROR(VLOOKUP(O40,[4]CREDITORS!A:B,2,0),"")</f>
        <v>0</v>
      </c>
      <c r="J40" s="370"/>
      <c r="K40" s="370"/>
      <c r="L40" s="371">
        <f t="shared" si="1"/>
        <v>22220976.69</v>
      </c>
      <c r="M40" s="372"/>
      <c r="N40" s="373"/>
      <c r="O40" s="345"/>
      <c r="P40" s="345"/>
      <c r="Q40" s="347">
        <f t="shared" si="2"/>
        <v>0</v>
      </c>
      <c r="R40" s="378"/>
      <c r="S40" s="279"/>
      <c r="T40" s="279"/>
      <c r="U40" s="279"/>
      <c r="V40" s="279"/>
      <c r="W40" s="279"/>
      <c r="X40" s="279"/>
      <c r="Y40" s="279"/>
    </row>
    <row r="41" s="104" customFormat="1" ht="24" customHeight="1" spans="1:25">
      <c r="A41" s="362"/>
      <c r="B41" s="363"/>
      <c r="C41" s="364"/>
      <c r="D41" s="365"/>
      <c r="E41" s="366" t="str">
        <f>IF(D41="","",VLOOKUP(D41,'[4]Account Code'!$A$3:$D$273,2,0))</f>
        <v/>
      </c>
      <c r="F41" s="367"/>
      <c r="G41" s="368"/>
      <c r="H41" s="368"/>
      <c r="I41" s="369">
        <f>IFERROR(VLOOKUP(O41,[4]CREDITORS!A:B,2,0),"")</f>
        <v>0</v>
      </c>
      <c r="J41" s="370"/>
      <c r="K41" s="370"/>
      <c r="L41" s="371">
        <f t="shared" si="1"/>
        <v>22220976.69</v>
      </c>
      <c r="M41" s="372"/>
      <c r="N41" s="373"/>
      <c r="O41" s="345"/>
      <c r="P41" s="345"/>
      <c r="Q41" s="347">
        <f t="shared" si="2"/>
        <v>0</v>
      </c>
      <c r="R41" s="378"/>
      <c r="S41" s="279"/>
      <c r="T41" s="279"/>
      <c r="U41" s="279"/>
      <c r="V41" s="279"/>
      <c r="W41" s="279"/>
      <c r="X41" s="279"/>
      <c r="Y41" s="279"/>
    </row>
    <row r="42" s="104" customFormat="1" ht="24" customHeight="1" spans="1:25">
      <c r="A42" s="362"/>
      <c r="B42" s="363"/>
      <c r="C42" s="364"/>
      <c r="D42" s="365"/>
      <c r="E42" s="366" t="str">
        <f>IF(D42="","",VLOOKUP(D42,'[4]Account Code'!$A$3:$D$273,2,0))</f>
        <v/>
      </c>
      <c r="F42" s="367"/>
      <c r="G42" s="368"/>
      <c r="H42" s="368"/>
      <c r="I42" s="369">
        <f>IFERROR(VLOOKUP(O42,[4]CREDITORS!A:B,2,0),"")</f>
        <v>0</v>
      </c>
      <c r="J42" s="370"/>
      <c r="K42" s="370"/>
      <c r="L42" s="371">
        <f t="shared" si="1"/>
        <v>22220976.69</v>
      </c>
      <c r="M42" s="372"/>
      <c r="N42" s="373"/>
      <c r="O42" s="345"/>
      <c r="P42" s="345"/>
      <c r="Q42" s="347">
        <f t="shared" si="2"/>
        <v>0</v>
      </c>
      <c r="R42" s="378"/>
      <c r="S42" s="279"/>
      <c r="T42" s="279"/>
      <c r="U42" s="279"/>
      <c r="V42" s="279"/>
      <c r="W42" s="279"/>
      <c r="X42" s="279"/>
      <c r="Y42" s="279"/>
    </row>
    <row r="43" s="104" customFormat="1" ht="24" customHeight="1" spans="1:25">
      <c r="A43" s="362"/>
      <c r="B43" s="363"/>
      <c r="C43" s="364"/>
      <c r="D43" s="365"/>
      <c r="E43" s="366" t="str">
        <f>IF(D43="","",VLOOKUP(D43,'[4]Account Code'!$A$3:$D$273,2,0))</f>
        <v/>
      </c>
      <c r="F43" s="367"/>
      <c r="G43" s="368"/>
      <c r="H43" s="368"/>
      <c r="I43" s="369">
        <f>IFERROR(VLOOKUP(O43,[4]CREDITORS!A:B,2,0),"")</f>
        <v>0</v>
      </c>
      <c r="J43" s="370"/>
      <c r="K43" s="370"/>
      <c r="L43" s="371">
        <f t="shared" si="1"/>
        <v>22220976.69</v>
      </c>
      <c r="M43" s="372"/>
      <c r="N43" s="373"/>
      <c r="O43" s="345"/>
      <c r="P43" s="345"/>
      <c r="Q43" s="347">
        <f t="shared" si="2"/>
        <v>0</v>
      </c>
      <c r="R43" s="378"/>
      <c r="S43" s="279"/>
      <c r="T43" s="279"/>
      <c r="U43" s="279"/>
      <c r="V43" s="279"/>
      <c r="W43" s="279"/>
      <c r="X43" s="279"/>
      <c r="Y43" s="279"/>
    </row>
    <row r="44" s="104" customFormat="1" ht="24" customHeight="1" spans="1:25">
      <c r="A44" s="362"/>
      <c r="B44" s="363"/>
      <c r="C44" s="364"/>
      <c r="D44" s="365"/>
      <c r="E44" s="366" t="str">
        <f>IF(D44="","",VLOOKUP(D44,'[4]Account Code'!$A$3:$D$273,2,0))</f>
        <v/>
      </c>
      <c r="F44" s="367"/>
      <c r="G44" s="368"/>
      <c r="H44" s="368"/>
      <c r="I44" s="369">
        <f>IFERROR(VLOOKUP(O44,[4]CREDITORS!A:B,2,0),"")</f>
        <v>0</v>
      </c>
      <c r="J44" s="370"/>
      <c r="K44" s="370"/>
      <c r="L44" s="371">
        <f t="shared" si="1"/>
        <v>22220976.69</v>
      </c>
      <c r="M44" s="372"/>
      <c r="N44" s="373"/>
      <c r="O44" s="345"/>
      <c r="P44" s="345"/>
      <c r="Q44" s="347">
        <f t="shared" si="2"/>
        <v>0</v>
      </c>
      <c r="R44" s="378"/>
      <c r="S44" s="279"/>
      <c r="T44" s="279"/>
      <c r="U44" s="279"/>
      <c r="V44" s="279"/>
      <c r="W44" s="279"/>
      <c r="X44" s="279"/>
      <c r="Y44" s="279"/>
    </row>
    <row r="45" s="104" customFormat="1" ht="24" customHeight="1" spans="1:25">
      <c r="A45" s="362"/>
      <c r="B45" s="363"/>
      <c r="C45" s="364"/>
      <c r="D45" s="365"/>
      <c r="E45" s="366" t="str">
        <f>IF(D45="","",VLOOKUP(D45,'[4]Account Code'!$A$3:$D$273,2,0))</f>
        <v/>
      </c>
      <c r="F45" s="367"/>
      <c r="G45" s="368"/>
      <c r="H45" s="368"/>
      <c r="I45" s="369">
        <f>IFERROR(VLOOKUP(O45,[4]CREDITORS!A:B,2,0),"")</f>
        <v>0</v>
      </c>
      <c r="J45" s="370"/>
      <c r="K45" s="370"/>
      <c r="L45" s="371">
        <f t="shared" si="1"/>
        <v>22220976.69</v>
      </c>
      <c r="M45" s="372"/>
      <c r="N45" s="373"/>
      <c r="O45" s="345"/>
      <c r="P45" s="345"/>
      <c r="Q45" s="347">
        <f t="shared" si="2"/>
        <v>0</v>
      </c>
      <c r="R45" s="378"/>
      <c r="S45" s="279"/>
      <c r="T45" s="279"/>
      <c r="U45" s="279"/>
      <c r="V45" s="279"/>
      <c r="W45" s="279"/>
      <c r="X45" s="279"/>
      <c r="Y45" s="279"/>
    </row>
    <row r="46" s="104" customFormat="1" ht="24" customHeight="1" spans="1:25">
      <c r="A46" s="362"/>
      <c r="B46" s="363"/>
      <c r="C46" s="364"/>
      <c r="D46" s="365"/>
      <c r="E46" s="366" t="str">
        <f>IF(D46="","",VLOOKUP(D46,'[4]Account Code'!$A$3:$D$273,2,0))</f>
        <v/>
      </c>
      <c r="F46" s="367"/>
      <c r="G46" s="368"/>
      <c r="H46" s="368"/>
      <c r="I46" s="369">
        <f>IFERROR(VLOOKUP(O46,[4]CREDITORS!A:B,2,0),"")</f>
        <v>0</v>
      </c>
      <c r="J46" s="370"/>
      <c r="K46" s="370"/>
      <c r="L46" s="371">
        <f t="shared" si="1"/>
        <v>22220976.69</v>
      </c>
      <c r="M46" s="372"/>
      <c r="N46" s="373"/>
      <c r="O46" s="345"/>
      <c r="P46" s="345"/>
      <c r="Q46" s="347">
        <f t="shared" si="2"/>
        <v>0</v>
      </c>
      <c r="R46" s="378"/>
      <c r="S46" s="279"/>
      <c r="T46" s="279"/>
      <c r="U46" s="279"/>
      <c r="V46" s="279"/>
      <c r="W46" s="279"/>
      <c r="X46" s="279"/>
      <c r="Y46" s="279"/>
    </row>
    <row r="47" s="104" customFormat="1" ht="24" customHeight="1" spans="1:25">
      <c r="A47" s="362"/>
      <c r="B47" s="363"/>
      <c r="C47" s="364"/>
      <c r="D47" s="365"/>
      <c r="E47" s="366" t="str">
        <f>IF(D47="","",VLOOKUP(D47,'[4]Account Code'!$A$3:$D$273,2,0))</f>
        <v/>
      </c>
      <c r="F47" s="367"/>
      <c r="G47" s="368"/>
      <c r="H47" s="368"/>
      <c r="I47" s="369">
        <f>IFERROR(VLOOKUP(O47,[4]CREDITORS!A:B,2,0),"")</f>
        <v>0</v>
      </c>
      <c r="J47" s="370"/>
      <c r="K47" s="370"/>
      <c r="L47" s="371">
        <f t="shared" si="1"/>
        <v>22220976.69</v>
      </c>
      <c r="M47" s="372"/>
      <c r="N47" s="373"/>
      <c r="O47" s="345"/>
      <c r="P47" s="345"/>
      <c r="Q47" s="347">
        <f t="shared" si="2"/>
        <v>0</v>
      </c>
      <c r="R47" s="378"/>
      <c r="S47" s="279"/>
      <c r="T47" s="279"/>
      <c r="U47" s="279"/>
      <c r="V47" s="279"/>
      <c r="W47" s="279"/>
      <c r="X47" s="279"/>
      <c r="Y47" s="279"/>
    </row>
    <row r="48" s="104" customFormat="1" ht="25.5" customHeight="1" spans="1:25">
      <c r="A48" s="362"/>
      <c r="B48" s="363"/>
      <c r="C48" s="364"/>
      <c r="D48" s="365"/>
      <c r="E48" s="366" t="str">
        <f>IF(D48="","",VLOOKUP(D48,'[4]Account Code'!$A$3:$D$273,2,0))</f>
        <v/>
      </c>
      <c r="F48" s="367"/>
      <c r="G48" s="368"/>
      <c r="H48" s="368"/>
      <c r="I48" s="369">
        <f>IFERROR(VLOOKUP(O48,[4]CREDITORS!A:B,2,0),"")</f>
        <v>0</v>
      </c>
      <c r="J48" s="370"/>
      <c r="K48" s="370"/>
      <c r="L48" s="371">
        <f t="shared" si="1"/>
        <v>22220976.69</v>
      </c>
      <c r="M48" s="372"/>
      <c r="N48" s="373"/>
      <c r="O48" s="345"/>
      <c r="P48" s="345"/>
      <c r="Q48" s="347">
        <f t="shared" si="2"/>
        <v>0</v>
      </c>
      <c r="R48" s="378"/>
      <c r="S48" s="279"/>
      <c r="T48" s="279"/>
      <c r="U48" s="279"/>
      <c r="V48" s="279"/>
      <c r="W48" s="279"/>
      <c r="X48" s="279"/>
      <c r="Y48" s="279"/>
    </row>
    <row r="49" s="104" customFormat="1" ht="25.5" customHeight="1" spans="1:25">
      <c r="A49" s="362"/>
      <c r="B49" s="363"/>
      <c r="C49" s="364"/>
      <c r="D49" s="365"/>
      <c r="E49" s="366" t="str">
        <f>IF(D49="","",VLOOKUP(D49,'[4]Account Code'!$A$3:$D$273,2,0))</f>
        <v/>
      </c>
      <c r="F49" s="367"/>
      <c r="G49" s="368"/>
      <c r="H49" s="368"/>
      <c r="I49" s="369">
        <f>IFERROR(VLOOKUP(O49,[4]CREDITORS!A:B,2,0),"")</f>
        <v>0</v>
      </c>
      <c r="J49" s="370"/>
      <c r="K49" s="370"/>
      <c r="L49" s="371">
        <f t="shared" si="1"/>
        <v>22220976.69</v>
      </c>
      <c r="M49" s="372"/>
      <c r="N49" s="373"/>
      <c r="O49" s="345"/>
      <c r="P49" s="345"/>
      <c r="Q49" s="347">
        <f t="shared" si="2"/>
        <v>0</v>
      </c>
      <c r="R49" s="378"/>
      <c r="S49" s="279"/>
      <c r="T49" s="279"/>
      <c r="U49" s="279"/>
      <c r="V49" s="279"/>
      <c r="W49" s="279"/>
      <c r="X49" s="279"/>
      <c r="Y49" s="279"/>
    </row>
    <row r="50" s="104" customFormat="1" ht="25.5" customHeight="1" spans="1:25">
      <c r="A50" s="362"/>
      <c r="B50" s="363"/>
      <c r="C50" s="364"/>
      <c r="D50" s="365"/>
      <c r="E50" s="366" t="str">
        <f>IF(D50="","",VLOOKUP(D50,'[4]Account Code'!$A$3:$D$273,2,0))</f>
        <v/>
      </c>
      <c r="F50" s="367"/>
      <c r="G50" s="368"/>
      <c r="H50" s="368"/>
      <c r="I50" s="369">
        <f>IFERROR(VLOOKUP(O50,[4]CREDITORS!A:B,2,0),"")</f>
        <v>0</v>
      </c>
      <c r="J50" s="370"/>
      <c r="K50" s="370"/>
      <c r="L50" s="371">
        <f t="shared" si="1"/>
        <v>22220976.69</v>
      </c>
      <c r="M50" s="372"/>
      <c r="N50" s="373"/>
      <c r="O50" s="345"/>
      <c r="P50" s="345"/>
      <c r="Q50" s="347">
        <f t="shared" si="2"/>
        <v>0</v>
      </c>
      <c r="R50" s="378"/>
      <c r="S50" s="279"/>
      <c r="T50" s="279"/>
      <c r="U50" s="279"/>
      <c r="V50" s="279"/>
      <c r="W50" s="279"/>
      <c r="X50" s="279"/>
      <c r="Y50" s="279"/>
    </row>
    <row r="51" s="104" customFormat="1" ht="24" customHeight="1" spans="1:25">
      <c r="A51" s="362"/>
      <c r="B51" s="363"/>
      <c r="C51" s="364"/>
      <c r="D51" s="365"/>
      <c r="E51" s="366" t="str">
        <f>IF(D51="","",VLOOKUP(D51,'[4]Account Code'!$A$3:$D$273,2,0))</f>
        <v/>
      </c>
      <c r="F51" s="367"/>
      <c r="G51" s="368"/>
      <c r="H51" s="368"/>
      <c r="I51" s="369">
        <f>IFERROR(VLOOKUP(O51,[4]CREDITORS!A:B,2,0),"")</f>
        <v>0</v>
      </c>
      <c r="J51" s="370"/>
      <c r="K51" s="370"/>
      <c r="L51" s="371">
        <f t="shared" si="1"/>
        <v>22220976.69</v>
      </c>
      <c r="M51" s="372"/>
      <c r="N51" s="373"/>
      <c r="O51" s="345"/>
      <c r="P51" s="345"/>
      <c r="Q51" s="347">
        <f t="shared" si="2"/>
        <v>0</v>
      </c>
      <c r="R51" s="378"/>
      <c r="S51" s="279"/>
      <c r="T51" s="279"/>
      <c r="U51" s="279"/>
      <c r="V51" s="279"/>
      <c r="W51" s="279"/>
      <c r="X51" s="279"/>
      <c r="Y51" s="279"/>
    </row>
    <row r="52" s="104" customFormat="1" ht="24" customHeight="1" spans="1:25">
      <c r="A52" s="362"/>
      <c r="B52" s="363"/>
      <c r="C52" s="364"/>
      <c r="D52" s="365"/>
      <c r="E52" s="366" t="str">
        <f>IF(D52="","",VLOOKUP(D52,'[4]Account Code'!$A$3:$D$273,2,0))</f>
        <v/>
      </c>
      <c r="F52" s="367"/>
      <c r="G52" s="368"/>
      <c r="H52" s="368"/>
      <c r="I52" s="369">
        <f>IFERROR(VLOOKUP(O52,[4]CREDITORS!A:B,2,0),"")</f>
        <v>0</v>
      </c>
      <c r="J52" s="370"/>
      <c r="K52" s="370"/>
      <c r="L52" s="371">
        <f t="shared" si="1"/>
        <v>22220976.69</v>
      </c>
      <c r="M52" s="372"/>
      <c r="N52" s="373"/>
      <c r="O52" s="345"/>
      <c r="P52" s="345"/>
      <c r="Q52" s="347">
        <f t="shared" si="2"/>
        <v>0</v>
      </c>
      <c r="R52" s="378"/>
      <c r="S52" s="279"/>
      <c r="T52" s="279"/>
      <c r="U52" s="279"/>
      <c r="V52" s="279"/>
      <c r="W52" s="279"/>
      <c r="X52" s="279"/>
      <c r="Y52" s="279"/>
    </row>
    <row r="53" s="104" customFormat="1" ht="24" customHeight="1" spans="1:25">
      <c r="A53" s="362"/>
      <c r="B53" s="363"/>
      <c r="C53" s="364"/>
      <c r="D53" s="365"/>
      <c r="E53" s="366" t="str">
        <f>IF(D53="","",VLOOKUP(D53,'[4]Account Code'!$A$3:$D$273,2,0))</f>
        <v/>
      </c>
      <c r="F53" s="367"/>
      <c r="G53" s="368"/>
      <c r="H53" s="368"/>
      <c r="I53" s="369">
        <f>IFERROR(VLOOKUP(O53,[4]CREDITORS!A:B,2,0),"")</f>
        <v>0</v>
      </c>
      <c r="J53" s="370"/>
      <c r="K53" s="370"/>
      <c r="L53" s="371">
        <f t="shared" si="1"/>
        <v>22220976.69</v>
      </c>
      <c r="M53" s="372"/>
      <c r="N53" s="373"/>
      <c r="O53" s="345"/>
      <c r="P53" s="345"/>
      <c r="Q53" s="347"/>
      <c r="R53" s="378"/>
      <c r="S53" s="279"/>
      <c r="T53" s="279"/>
      <c r="U53" s="279"/>
      <c r="V53" s="279"/>
      <c r="W53" s="279"/>
      <c r="X53" s="279"/>
      <c r="Y53" s="279"/>
    </row>
    <row r="54" s="104" customFormat="1" ht="24" customHeight="1" spans="1:25">
      <c r="A54" s="362"/>
      <c r="B54" s="363"/>
      <c r="C54" s="364"/>
      <c r="D54" s="365"/>
      <c r="E54" s="366" t="str">
        <f>IF(D54="","",VLOOKUP(D54,'[4]Account Code'!$A$3:$D$273,2,0))</f>
        <v/>
      </c>
      <c r="F54" s="367"/>
      <c r="G54" s="368"/>
      <c r="H54" s="368"/>
      <c r="I54" s="369">
        <f>IFERROR(VLOOKUP(O54,[4]CREDITORS!A:B,2,0),"")</f>
        <v>0</v>
      </c>
      <c r="J54" s="370"/>
      <c r="K54" s="370"/>
      <c r="L54" s="371">
        <f t="shared" si="1"/>
        <v>22220976.69</v>
      </c>
      <c r="M54" s="372"/>
      <c r="N54" s="373"/>
      <c r="O54" s="345"/>
      <c r="P54" s="345"/>
      <c r="Q54" s="347">
        <f t="shared" ref="Q54:Q108" si="3">(LEN(C54))</f>
        <v>0</v>
      </c>
      <c r="R54" s="378"/>
      <c r="S54" s="279"/>
      <c r="T54" s="279"/>
      <c r="U54" s="279"/>
      <c r="V54" s="279"/>
      <c r="W54" s="279"/>
      <c r="X54" s="279"/>
      <c r="Y54" s="279"/>
    </row>
    <row r="55" s="104" customFormat="1" ht="24" customHeight="1" spans="1:25">
      <c r="A55" s="362"/>
      <c r="B55" s="363"/>
      <c r="C55" s="364"/>
      <c r="D55" s="365"/>
      <c r="E55" s="366" t="str">
        <f>IF(D55="","",VLOOKUP(D55,'[4]Account Code'!$A$3:$D$273,2,0))</f>
        <v/>
      </c>
      <c r="F55" s="367"/>
      <c r="G55" s="368"/>
      <c r="H55" s="368"/>
      <c r="I55" s="369">
        <f>IFERROR(VLOOKUP(O55,[4]CREDITORS!A:B,2,0),"")</f>
        <v>0</v>
      </c>
      <c r="J55" s="370"/>
      <c r="K55" s="370"/>
      <c r="L55" s="371">
        <f t="shared" si="1"/>
        <v>22220976.69</v>
      </c>
      <c r="M55" s="372"/>
      <c r="N55" s="373"/>
      <c r="O55" s="345"/>
      <c r="P55" s="345"/>
      <c r="Q55" s="347">
        <f t="shared" si="3"/>
        <v>0</v>
      </c>
      <c r="R55" s="378"/>
      <c r="S55" s="279"/>
      <c r="T55" s="279"/>
      <c r="U55" s="279"/>
      <c r="V55" s="279"/>
      <c r="W55" s="279"/>
      <c r="X55" s="279"/>
      <c r="Y55" s="279"/>
    </row>
    <row r="56" s="104" customFormat="1" ht="24" customHeight="1" spans="1:25">
      <c r="A56" s="362"/>
      <c r="B56" s="363"/>
      <c r="C56" s="364"/>
      <c r="D56" s="365"/>
      <c r="E56" s="366" t="str">
        <f>IF(D56="","",VLOOKUP(D56,'[4]Account Code'!$A$3:$D$273,2,0))</f>
        <v/>
      </c>
      <c r="F56" s="367"/>
      <c r="G56" s="368"/>
      <c r="H56" s="368"/>
      <c r="I56" s="369">
        <f>IFERROR(VLOOKUP(O56,[4]CREDITORS!A:B,2,0),"")</f>
        <v>0</v>
      </c>
      <c r="J56" s="370"/>
      <c r="K56" s="370"/>
      <c r="L56" s="371">
        <f t="shared" si="1"/>
        <v>22220976.69</v>
      </c>
      <c r="M56" s="372"/>
      <c r="N56" s="373"/>
      <c r="O56" s="345"/>
      <c r="P56" s="345"/>
      <c r="Q56" s="347">
        <f t="shared" si="3"/>
        <v>0</v>
      </c>
      <c r="R56" s="378"/>
      <c r="S56" s="279"/>
      <c r="T56" s="279"/>
      <c r="U56" s="279"/>
      <c r="V56" s="279"/>
      <c r="W56" s="279"/>
      <c r="X56" s="279"/>
      <c r="Y56" s="279"/>
    </row>
    <row r="57" s="104" customFormat="1" ht="24" customHeight="1" spans="1:25">
      <c r="A57" s="362"/>
      <c r="B57" s="363"/>
      <c r="C57" s="364"/>
      <c r="D57" s="365"/>
      <c r="E57" s="366" t="str">
        <f>IF(D57="","",VLOOKUP(D57,'[4]Account Code'!$A$3:$D$273,2,0))</f>
        <v/>
      </c>
      <c r="F57" s="367"/>
      <c r="G57" s="368"/>
      <c r="H57" s="368"/>
      <c r="I57" s="369">
        <f>IFERROR(VLOOKUP(O57,[4]CREDITORS!A:B,2,0),"")</f>
        <v>0</v>
      </c>
      <c r="J57" s="370"/>
      <c r="K57" s="370"/>
      <c r="L57" s="371">
        <f t="shared" si="1"/>
        <v>22220976.69</v>
      </c>
      <c r="M57" s="372"/>
      <c r="N57" s="373"/>
      <c r="O57" s="345"/>
      <c r="P57" s="345"/>
      <c r="Q57" s="347">
        <f t="shared" si="3"/>
        <v>0</v>
      </c>
      <c r="R57" s="378"/>
      <c r="S57" s="279"/>
      <c r="T57" s="279"/>
      <c r="U57" s="279"/>
      <c r="V57" s="279"/>
      <c r="W57" s="279"/>
      <c r="X57" s="279"/>
      <c r="Y57" s="279"/>
    </row>
    <row r="58" s="104" customFormat="1" ht="24" customHeight="1" spans="1:25">
      <c r="A58" s="362"/>
      <c r="B58" s="363"/>
      <c r="C58" s="364"/>
      <c r="D58" s="365"/>
      <c r="E58" s="366" t="str">
        <f>IF(D58="","",VLOOKUP(D58,'[4]Account Code'!$A$3:$D$273,2,0))</f>
        <v/>
      </c>
      <c r="F58" s="367"/>
      <c r="G58" s="368"/>
      <c r="H58" s="368"/>
      <c r="I58" s="369">
        <f>IFERROR(VLOOKUP(O58,[4]CREDITORS!A:B,2,0),"")</f>
        <v>0</v>
      </c>
      <c r="J58" s="370"/>
      <c r="K58" s="370"/>
      <c r="L58" s="371">
        <f t="shared" si="1"/>
        <v>22220976.69</v>
      </c>
      <c r="M58" s="372"/>
      <c r="N58" s="373"/>
      <c r="O58" s="345"/>
      <c r="P58" s="345"/>
      <c r="Q58" s="347">
        <f t="shared" si="3"/>
        <v>0</v>
      </c>
      <c r="R58" s="378"/>
      <c r="S58" s="279"/>
      <c r="T58" s="279"/>
      <c r="U58" s="279"/>
      <c r="V58" s="279"/>
      <c r="W58" s="279"/>
      <c r="X58" s="279"/>
      <c r="Y58" s="279"/>
    </row>
    <row r="59" s="104" customFormat="1" ht="24" customHeight="1" spans="1:25">
      <c r="A59" s="362"/>
      <c r="B59" s="363"/>
      <c r="C59" s="364"/>
      <c r="D59" s="365"/>
      <c r="E59" s="366" t="str">
        <f>IF(D59="","",VLOOKUP(D59,'[4]Account Code'!$A$3:$D$273,2,0))</f>
        <v/>
      </c>
      <c r="F59" s="367"/>
      <c r="G59" s="368"/>
      <c r="H59" s="368"/>
      <c r="I59" s="369">
        <f>IFERROR(VLOOKUP(O59,[4]CREDITORS!A:B,2,0),"")</f>
        <v>0</v>
      </c>
      <c r="J59" s="370"/>
      <c r="K59" s="370"/>
      <c r="L59" s="371">
        <f t="shared" si="1"/>
        <v>22220976.69</v>
      </c>
      <c r="M59" s="372"/>
      <c r="N59" s="373"/>
      <c r="O59" s="345"/>
      <c r="P59" s="345"/>
      <c r="Q59" s="347">
        <f t="shared" si="3"/>
        <v>0</v>
      </c>
      <c r="R59" s="378"/>
      <c r="S59" s="279"/>
      <c r="T59" s="279"/>
      <c r="U59" s="279"/>
      <c r="V59" s="279"/>
      <c r="W59" s="279"/>
      <c r="X59" s="279"/>
      <c r="Y59" s="279"/>
    </row>
    <row r="60" s="104" customFormat="1" ht="24" customHeight="1" spans="1:25">
      <c r="A60" s="362"/>
      <c r="B60" s="363"/>
      <c r="C60" s="364"/>
      <c r="D60" s="365"/>
      <c r="E60" s="366" t="str">
        <f>IF(D60="","",VLOOKUP(D60,'[4]Account Code'!$A$3:$D$273,2,0))</f>
        <v/>
      </c>
      <c r="F60" s="367"/>
      <c r="G60" s="368"/>
      <c r="H60" s="368"/>
      <c r="I60" s="369">
        <f>IFERROR(VLOOKUP(O60,[4]CREDITORS!A:B,2,0),"")</f>
        <v>0</v>
      </c>
      <c r="J60" s="370"/>
      <c r="K60" s="370"/>
      <c r="L60" s="371">
        <f t="shared" si="1"/>
        <v>22220976.69</v>
      </c>
      <c r="M60" s="372"/>
      <c r="N60" s="373"/>
      <c r="O60" s="345"/>
      <c r="P60" s="345"/>
      <c r="Q60" s="347">
        <f t="shared" si="3"/>
        <v>0</v>
      </c>
      <c r="R60" s="378"/>
      <c r="S60" s="279"/>
      <c r="T60" s="279"/>
      <c r="U60" s="279"/>
      <c r="V60" s="279"/>
      <c r="W60" s="279"/>
      <c r="X60" s="279"/>
      <c r="Y60" s="279"/>
    </row>
    <row r="61" s="104" customFormat="1" ht="24" customHeight="1" spans="1:25">
      <c r="A61" s="362"/>
      <c r="B61" s="363"/>
      <c r="C61" s="364"/>
      <c r="D61" s="365"/>
      <c r="E61" s="366" t="str">
        <f>IF(D61="","",VLOOKUP(D61,'[4]Account Code'!$A$3:$D$273,2,0))</f>
        <v/>
      </c>
      <c r="F61" s="367"/>
      <c r="G61" s="368"/>
      <c r="H61" s="368"/>
      <c r="I61" s="369">
        <f>IFERROR(VLOOKUP(O61,[4]CREDITORS!A:B,2,0),"")</f>
        <v>0</v>
      </c>
      <c r="J61" s="370"/>
      <c r="K61" s="370"/>
      <c r="L61" s="371">
        <f t="shared" si="1"/>
        <v>22220976.69</v>
      </c>
      <c r="M61" s="372"/>
      <c r="N61" s="373"/>
      <c r="O61" s="345"/>
      <c r="P61" s="345"/>
      <c r="Q61" s="347">
        <f t="shared" si="3"/>
        <v>0</v>
      </c>
      <c r="R61" s="378"/>
      <c r="S61" s="279"/>
      <c r="T61" s="279"/>
      <c r="U61" s="279"/>
      <c r="V61" s="279"/>
      <c r="W61" s="279"/>
      <c r="X61" s="279"/>
      <c r="Y61" s="279"/>
    </row>
    <row r="62" s="104" customFormat="1" ht="24" customHeight="1" spans="1:25">
      <c r="A62" s="362"/>
      <c r="B62" s="363"/>
      <c r="C62" s="364"/>
      <c r="D62" s="365"/>
      <c r="E62" s="366" t="str">
        <f>IF(D62="","",VLOOKUP(D62,'[4]Account Code'!$A$3:$D$273,2,0))</f>
        <v/>
      </c>
      <c r="F62" s="367"/>
      <c r="G62" s="368"/>
      <c r="H62" s="368"/>
      <c r="I62" s="369">
        <f>IFERROR(VLOOKUP(O62,[4]CREDITORS!A:B,2,0),"")</f>
        <v>0</v>
      </c>
      <c r="J62" s="370"/>
      <c r="K62" s="370"/>
      <c r="L62" s="371">
        <f t="shared" si="1"/>
        <v>22220976.69</v>
      </c>
      <c r="M62" s="372"/>
      <c r="N62" s="373"/>
      <c r="O62" s="345"/>
      <c r="P62" s="345"/>
      <c r="Q62" s="347">
        <f t="shared" si="3"/>
        <v>0</v>
      </c>
      <c r="R62" s="378"/>
      <c r="S62" s="279"/>
      <c r="T62" s="279"/>
      <c r="U62" s="279"/>
      <c r="V62" s="279"/>
      <c r="W62" s="279"/>
      <c r="X62" s="279"/>
      <c r="Y62" s="279"/>
    </row>
    <row r="63" s="104" customFormat="1" ht="24" customHeight="1" spans="1:25">
      <c r="A63" s="362"/>
      <c r="B63" s="363"/>
      <c r="C63" s="364"/>
      <c r="D63" s="365"/>
      <c r="E63" s="366" t="str">
        <f>IF(D63="","",VLOOKUP(D63,'[4]Account Code'!$A$3:$D$273,2,0))</f>
        <v/>
      </c>
      <c r="F63" s="367"/>
      <c r="G63" s="368"/>
      <c r="H63" s="368"/>
      <c r="I63" s="369">
        <f>IFERROR(VLOOKUP(O63,[4]CREDITORS!A:B,2,0),"")</f>
        <v>0</v>
      </c>
      <c r="J63" s="370"/>
      <c r="K63" s="370"/>
      <c r="L63" s="371">
        <f t="shared" si="1"/>
        <v>22220976.69</v>
      </c>
      <c r="M63" s="372"/>
      <c r="N63" s="373"/>
      <c r="O63" s="345"/>
      <c r="P63" s="345"/>
      <c r="Q63" s="347">
        <f t="shared" si="3"/>
        <v>0</v>
      </c>
      <c r="R63" s="279"/>
      <c r="S63" s="279"/>
      <c r="T63" s="279"/>
      <c r="U63" s="279"/>
      <c r="V63" s="279"/>
      <c r="W63" s="279"/>
      <c r="X63" s="279"/>
      <c r="Y63" s="279"/>
    </row>
    <row r="64" s="104" customFormat="1" ht="24" customHeight="1" spans="1:25">
      <c r="A64" s="362"/>
      <c r="B64" s="363"/>
      <c r="C64" s="364"/>
      <c r="D64" s="365"/>
      <c r="E64" s="366" t="str">
        <f>IF(D64="","",VLOOKUP(D64,'[4]Account Code'!$A$3:$D$273,2,0))</f>
        <v/>
      </c>
      <c r="F64" s="367"/>
      <c r="G64" s="368"/>
      <c r="H64" s="368"/>
      <c r="I64" s="369">
        <f>IFERROR(VLOOKUP(O64,[4]CREDITORS!A:B,2,0),"")</f>
        <v>0</v>
      </c>
      <c r="J64" s="370"/>
      <c r="K64" s="370"/>
      <c r="L64" s="371">
        <f t="shared" si="1"/>
        <v>22220976.69</v>
      </c>
      <c r="M64" s="372"/>
      <c r="N64" s="373"/>
      <c r="O64" s="345"/>
      <c r="P64" s="345"/>
      <c r="Q64" s="347">
        <f t="shared" si="3"/>
        <v>0</v>
      </c>
      <c r="R64" s="279"/>
      <c r="S64" s="279"/>
      <c r="T64" s="279"/>
      <c r="U64" s="279"/>
      <c r="V64" s="279"/>
      <c r="W64" s="279"/>
      <c r="X64" s="279"/>
      <c r="Y64" s="279"/>
    </row>
    <row r="65" s="104" customFormat="1" ht="24.75" customHeight="1" spans="1:25">
      <c r="A65" s="362"/>
      <c r="B65" s="363"/>
      <c r="C65" s="364"/>
      <c r="D65" s="365"/>
      <c r="E65" s="366" t="str">
        <f>IF(D65="","",VLOOKUP(D65,'[4]Account Code'!$A$3:$D$273,2,0))</f>
        <v/>
      </c>
      <c r="F65" s="367"/>
      <c r="G65" s="368"/>
      <c r="H65" s="368"/>
      <c r="I65" s="369">
        <f>IFERROR(VLOOKUP(O65,[4]CREDITORS!A:B,2,0),"")</f>
        <v>0</v>
      </c>
      <c r="J65" s="370"/>
      <c r="K65" s="370"/>
      <c r="L65" s="371">
        <f t="shared" si="1"/>
        <v>22220976.69</v>
      </c>
      <c r="M65" s="372"/>
      <c r="N65" s="373"/>
      <c r="O65" s="345"/>
      <c r="P65" s="345"/>
      <c r="Q65" s="347">
        <f t="shared" si="3"/>
        <v>0</v>
      </c>
      <c r="R65" s="279"/>
      <c r="S65" s="279"/>
      <c r="T65" s="279"/>
      <c r="U65" s="279"/>
      <c r="V65" s="279"/>
      <c r="W65" s="279"/>
      <c r="X65" s="279"/>
      <c r="Y65" s="279"/>
    </row>
    <row r="66" s="104" customFormat="1" ht="24" customHeight="1" spans="1:25">
      <c r="A66" s="362"/>
      <c r="B66" s="363"/>
      <c r="C66" s="364"/>
      <c r="D66" s="365"/>
      <c r="E66" s="366" t="str">
        <f>IF(D66="","",VLOOKUP(D66,'[4]Account Code'!$A$3:$D$273,2,0))</f>
        <v/>
      </c>
      <c r="F66" s="367"/>
      <c r="G66" s="368"/>
      <c r="H66" s="368"/>
      <c r="I66" s="369">
        <f>IFERROR(VLOOKUP(O66,[4]CREDITORS!A:B,2,0),"")</f>
        <v>0</v>
      </c>
      <c r="J66" s="370"/>
      <c r="K66" s="370"/>
      <c r="L66" s="371">
        <f t="shared" si="1"/>
        <v>22220976.69</v>
      </c>
      <c r="M66" s="372"/>
      <c r="N66" s="373"/>
      <c r="O66" s="345"/>
      <c r="P66" s="345"/>
      <c r="Q66" s="347">
        <f t="shared" si="3"/>
        <v>0</v>
      </c>
      <c r="R66" s="279"/>
      <c r="S66" s="279"/>
      <c r="T66" s="279"/>
      <c r="U66" s="279"/>
      <c r="V66" s="279"/>
      <c r="W66" s="279"/>
      <c r="X66" s="279"/>
      <c r="Y66" s="279"/>
    </row>
    <row r="67" s="104" customFormat="1" ht="24" customHeight="1" spans="1:25">
      <c r="A67" s="362"/>
      <c r="B67" s="363"/>
      <c r="C67" s="364"/>
      <c r="D67" s="365"/>
      <c r="E67" s="366" t="str">
        <f>IF(D67="","",VLOOKUP(D67,'[4]Account Code'!$A$3:$D$273,2,0))</f>
        <v/>
      </c>
      <c r="F67" s="367"/>
      <c r="G67" s="368"/>
      <c r="H67" s="368"/>
      <c r="I67" s="369">
        <f>IFERROR(VLOOKUP(O67,[4]CREDITORS!A:B,2,0),"")</f>
        <v>0</v>
      </c>
      <c r="J67" s="370"/>
      <c r="K67" s="370"/>
      <c r="L67" s="371">
        <f t="shared" si="1"/>
        <v>22220976.69</v>
      </c>
      <c r="M67" s="372"/>
      <c r="N67" s="373"/>
      <c r="O67" s="345"/>
      <c r="P67" s="345"/>
      <c r="Q67" s="347">
        <f t="shared" si="3"/>
        <v>0</v>
      </c>
      <c r="R67" s="279"/>
      <c r="S67" s="279"/>
      <c r="T67" s="279"/>
      <c r="U67" s="279"/>
      <c r="V67" s="279"/>
      <c r="W67" s="279"/>
      <c r="X67" s="279"/>
      <c r="Y67" s="279"/>
    </row>
    <row r="68" s="104" customFormat="1" ht="24" customHeight="1" spans="1:25">
      <c r="A68" s="362"/>
      <c r="B68" s="363"/>
      <c r="C68" s="364"/>
      <c r="D68" s="365"/>
      <c r="E68" s="366" t="str">
        <f>IF(D68="","",VLOOKUP(D68,'[4]Account Code'!$A$3:$D$273,2,0))</f>
        <v/>
      </c>
      <c r="F68" s="367"/>
      <c r="G68" s="368"/>
      <c r="H68" s="368"/>
      <c r="I68" s="369">
        <f>IFERROR(VLOOKUP(O68,[4]CREDITORS!A:B,2,0),"")</f>
        <v>0</v>
      </c>
      <c r="J68" s="370"/>
      <c r="K68" s="370"/>
      <c r="L68" s="371">
        <f t="shared" si="1"/>
        <v>22220976.69</v>
      </c>
      <c r="M68" s="372"/>
      <c r="N68" s="373"/>
      <c r="O68" s="345"/>
      <c r="P68" s="345"/>
      <c r="Q68" s="347">
        <f t="shared" si="3"/>
        <v>0</v>
      </c>
      <c r="R68" s="279"/>
      <c r="S68" s="279"/>
      <c r="T68" s="279"/>
      <c r="U68" s="279"/>
      <c r="V68" s="279"/>
      <c r="W68" s="279"/>
      <c r="X68" s="279"/>
      <c r="Y68" s="279"/>
    </row>
    <row r="69" s="104" customFormat="1" ht="24" customHeight="1" spans="1:25">
      <c r="A69" s="362"/>
      <c r="B69" s="363"/>
      <c r="C69" s="364"/>
      <c r="D69" s="365"/>
      <c r="E69" s="366" t="str">
        <f>IF(D69="","",VLOOKUP(D69,'[4]Account Code'!$A$3:$D$273,2,0))</f>
        <v/>
      </c>
      <c r="F69" s="367"/>
      <c r="G69" s="368"/>
      <c r="H69" s="368"/>
      <c r="I69" s="369">
        <f>IFERROR(VLOOKUP(O69,[4]CREDITORS!A:B,2,0),"")</f>
        <v>0</v>
      </c>
      <c r="J69" s="370"/>
      <c r="K69" s="370"/>
      <c r="L69" s="371">
        <f t="shared" si="1"/>
        <v>22220976.69</v>
      </c>
      <c r="M69" s="372"/>
      <c r="N69" s="373"/>
      <c r="O69" s="345"/>
      <c r="P69" s="345"/>
      <c r="Q69" s="347">
        <f t="shared" si="3"/>
        <v>0</v>
      </c>
      <c r="R69" s="279"/>
      <c r="S69" s="279"/>
      <c r="T69" s="279"/>
      <c r="U69" s="279"/>
      <c r="V69" s="279"/>
      <c r="W69" s="279"/>
      <c r="X69" s="279"/>
      <c r="Y69" s="279"/>
    </row>
    <row r="70" s="104" customFormat="1" ht="24" customHeight="1" spans="1:25">
      <c r="A70" s="362"/>
      <c r="B70" s="363"/>
      <c r="C70" s="364"/>
      <c r="D70" s="365"/>
      <c r="E70" s="366" t="str">
        <f>IF(D70="","",VLOOKUP(D70,'[4]Account Code'!$A$3:$D$273,2,0))</f>
        <v/>
      </c>
      <c r="F70" s="367"/>
      <c r="G70" s="368"/>
      <c r="H70" s="368"/>
      <c r="I70" s="369">
        <f>IFERROR(VLOOKUP(O70,[4]CREDITORS!A:B,2,0),"")</f>
        <v>0</v>
      </c>
      <c r="J70" s="370"/>
      <c r="K70" s="370"/>
      <c r="L70" s="371">
        <f t="shared" si="1"/>
        <v>22220976.69</v>
      </c>
      <c r="M70" s="372"/>
      <c r="N70" s="373"/>
      <c r="O70" s="345"/>
      <c r="P70" s="345"/>
      <c r="Q70" s="347">
        <f t="shared" si="3"/>
        <v>0</v>
      </c>
      <c r="R70" s="279"/>
      <c r="S70" s="279"/>
      <c r="T70" s="279"/>
      <c r="U70" s="279"/>
      <c r="V70" s="279"/>
      <c r="W70" s="279"/>
      <c r="X70" s="279"/>
      <c r="Y70" s="279"/>
    </row>
    <row r="71" s="104" customFormat="1" ht="24" customHeight="1" spans="1:25">
      <c r="A71" s="362"/>
      <c r="B71" s="363"/>
      <c r="C71" s="364"/>
      <c r="D71" s="365"/>
      <c r="E71" s="366" t="str">
        <f>IF(D71="","",VLOOKUP(D71,'[4]Account Code'!$A$3:$D$273,2,0))</f>
        <v/>
      </c>
      <c r="F71" s="367"/>
      <c r="G71" s="368"/>
      <c r="H71" s="368"/>
      <c r="I71" s="369">
        <f>IFERROR(VLOOKUP(O71,[4]CREDITORS!A:B,2,0),"")</f>
        <v>0</v>
      </c>
      <c r="J71" s="370"/>
      <c r="K71" s="370"/>
      <c r="L71" s="371">
        <f t="shared" si="1"/>
        <v>22220976.69</v>
      </c>
      <c r="M71" s="372"/>
      <c r="N71" s="373"/>
      <c r="O71" s="345"/>
      <c r="P71" s="345"/>
      <c r="Q71" s="347">
        <f t="shared" si="3"/>
        <v>0</v>
      </c>
      <c r="R71" s="279"/>
      <c r="S71" s="279"/>
      <c r="T71" s="279"/>
      <c r="U71" s="279"/>
      <c r="V71" s="279"/>
      <c r="W71" s="279"/>
      <c r="X71" s="279"/>
      <c r="Y71" s="279"/>
    </row>
    <row r="72" s="104" customFormat="1" ht="24" customHeight="1" spans="1:25">
      <c r="A72" s="362"/>
      <c r="B72" s="363"/>
      <c r="C72" s="364"/>
      <c r="D72" s="365"/>
      <c r="E72" s="366" t="str">
        <f>IF(D72="","",VLOOKUP(D72,'[4]Account Code'!$A$3:$D$273,2,0))</f>
        <v/>
      </c>
      <c r="F72" s="367"/>
      <c r="G72" s="368"/>
      <c r="H72" s="368"/>
      <c r="I72" s="369">
        <f>IFERROR(VLOOKUP(O72,[4]CREDITORS!A:B,2,0),"")</f>
        <v>0</v>
      </c>
      <c r="J72" s="370"/>
      <c r="K72" s="370"/>
      <c r="L72" s="371">
        <f t="shared" si="1"/>
        <v>22220976.69</v>
      </c>
      <c r="M72" s="372"/>
      <c r="N72" s="373"/>
      <c r="O72" s="345"/>
      <c r="P72" s="345"/>
      <c r="Q72" s="347">
        <f t="shared" si="3"/>
        <v>0</v>
      </c>
      <c r="R72" s="279"/>
      <c r="S72" s="279"/>
      <c r="T72" s="279"/>
      <c r="U72" s="279"/>
      <c r="V72" s="279"/>
      <c r="W72" s="279"/>
      <c r="X72" s="279"/>
      <c r="Y72" s="279"/>
    </row>
    <row r="73" s="104" customFormat="1" ht="24" customHeight="1" spans="1:25">
      <c r="A73" s="362"/>
      <c r="B73" s="363"/>
      <c r="C73" s="364"/>
      <c r="D73" s="365"/>
      <c r="E73" s="366" t="str">
        <f>IF(D73="","",VLOOKUP(D73,'[4]Account Code'!$A$3:$D$273,2,0))</f>
        <v/>
      </c>
      <c r="F73" s="367"/>
      <c r="G73" s="368"/>
      <c r="H73" s="368"/>
      <c r="I73" s="369">
        <f>IFERROR(VLOOKUP(O73,[4]CREDITORS!A:B,2,0),"")</f>
        <v>0</v>
      </c>
      <c r="J73" s="370"/>
      <c r="K73" s="370"/>
      <c r="L73" s="371">
        <f t="shared" si="1"/>
        <v>22220976.69</v>
      </c>
      <c r="M73" s="372"/>
      <c r="N73" s="373"/>
      <c r="O73" s="345"/>
      <c r="P73" s="345"/>
      <c r="Q73" s="347">
        <f t="shared" si="3"/>
        <v>0</v>
      </c>
      <c r="R73" s="279"/>
      <c r="S73" s="279"/>
      <c r="T73" s="279"/>
      <c r="U73" s="279"/>
      <c r="V73" s="279"/>
      <c r="W73" s="279"/>
      <c r="X73" s="279"/>
      <c r="Y73" s="279"/>
    </row>
    <row r="74" s="104" customFormat="1" ht="24" customHeight="1" spans="1:25">
      <c r="A74" s="362"/>
      <c r="B74" s="363"/>
      <c r="C74" s="364"/>
      <c r="D74" s="365"/>
      <c r="E74" s="366" t="str">
        <f>IF(D74="","",VLOOKUP(D74,'[4]Account Code'!$A$3:$D$273,2,0))</f>
        <v/>
      </c>
      <c r="F74" s="367"/>
      <c r="G74" s="368"/>
      <c r="H74" s="368"/>
      <c r="I74" s="369">
        <f>IFERROR(VLOOKUP(O74,[4]CREDITORS!A:B,2,0),"")</f>
        <v>0</v>
      </c>
      <c r="J74" s="370"/>
      <c r="K74" s="370"/>
      <c r="L74" s="371">
        <f t="shared" si="1"/>
        <v>22220976.69</v>
      </c>
      <c r="M74" s="372"/>
      <c r="N74" s="373"/>
      <c r="O74" s="345"/>
      <c r="P74" s="345"/>
      <c r="Q74" s="347">
        <f t="shared" si="3"/>
        <v>0</v>
      </c>
      <c r="R74" s="279"/>
      <c r="S74" s="279"/>
      <c r="T74" s="279"/>
      <c r="U74" s="279"/>
      <c r="V74" s="279"/>
      <c r="W74" s="279"/>
      <c r="X74" s="279"/>
      <c r="Y74" s="279"/>
    </row>
    <row r="75" s="104" customFormat="1" ht="24" customHeight="1" spans="1:25">
      <c r="A75" s="362"/>
      <c r="B75" s="363"/>
      <c r="C75" s="364"/>
      <c r="D75" s="365"/>
      <c r="E75" s="366" t="str">
        <f>IF(D75="","",VLOOKUP(D75,'[4]Account Code'!$A$3:$D$273,2,0))</f>
        <v/>
      </c>
      <c r="F75" s="367"/>
      <c r="G75" s="368"/>
      <c r="H75" s="368"/>
      <c r="I75" s="369">
        <f>IFERROR(VLOOKUP(O75,[4]CREDITORS!A:B,2,0),"")</f>
        <v>0</v>
      </c>
      <c r="J75" s="370"/>
      <c r="K75" s="370"/>
      <c r="L75" s="371">
        <f t="shared" si="1"/>
        <v>22220976.69</v>
      </c>
      <c r="M75" s="372"/>
      <c r="N75" s="373"/>
      <c r="O75" s="345"/>
      <c r="P75" s="345"/>
      <c r="Q75" s="347">
        <f t="shared" si="3"/>
        <v>0</v>
      </c>
      <c r="R75" s="279"/>
      <c r="S75" s="279"/>
      <c r="T75" s="279"/>
      <c r="U75" s="279"/>
      <c r="V75" s="279"/>
      <c r="W75" s="279"/>
      <c r="X75" s="279"/>
      <c r="Y75" s="279"/>
    </row>
    <row r="76" s="104" customFormat="1" ht="24" customHeight="1" spans="1:25">
      <c r="A76" s="362"/>
      <c r="B76" s="363"/>
      <c r="C76" s="364"/>
      <c r="D76" s="365"/>
      <c r="E76" s="366" t="str">
        <f>IF(D76="","",VLOOKUP(D76,'[4]Account Code'!$A$3:$D$273,2,0))</f>
        <v/>
      </c>
      <c r="F76" s="367"/>
      <c r="G76" s="368"/>
      <c r="H76" s="368"/>
      <c r="I76" s="369">
        <f>IFERROR(VLOOKUP(O76,[4]CREDITORS!A:B,2,0),"")</f>
        <v>0</v>
      </c>
      <c r="J76" s="370"/>
      <c r="K76" s="370"/>
      <c r="L76" s="371">
        <f t="shared" ref="L76:L139" si="4">L75+J76-K76</f>
        <v>22220976.69</v>
      </c>
      <c r="M76" s="372"/>
      <c r="N76" s="373"/>
      <c r="O76" s="345"/>
      <c r="P76" s="345"/>
      <c r="Q76" s="347">
        <f t="shared" si="3"/>
        <v>0</v>
      </c>
      <c r="R76" s="279"/>
      <c r="S76" s="279"/>
      <c r="T76" s="279"/>
      <c r="U76" s="279"/>
      <c r="V76" s="279"/>
      <c r="W76" s="279"/>
      <c r="X76" s="279"/>
      <c r="Y76" s="279"/>
    </row>
    <row r="77" s="104" customFormat="1" ht="24" customHeight="1" spans="1:25">
      <c r="A77" s="362"/>
      <c r="B77" s="363"/>
      <c r="C77" s="364"/>
      <c r="D77" s="365"/>
      <c r="E77" s="366" t="str">
        <f>IF(D77="","",VLOOKUP(D77,'[4]Account Code'!$A$3:$D$273,2,0))</f>
        <v/>
      </c>
      <c r="F77" s="367"/>
      <c r="G77" s="368"/>
      <c r="H77" s="368"/>
      <c r="I77" s="369">
        <f>IFERROR(VLOOKUP(O77,[4]CREDITORS!A:B,2,0),"")</f>
        <v>0</v>
      </c>
      <c r="J77" s="370"/>
      <c r="K77" s="370"/>
      <c r="L77" s="371">
        <f t="shared" si="4"/>
        <v>22220976.69</v>
      </c>
      <c r="M77" s="372"/>
      <c r="N77" s="373"/>
      <c r="O77" s="345"/>
      <c r="P77" s="345"/>
      <c r="Q77" s="347">
        <f t="shared" si="3"/>
        <v>0</v>
      </c>
      <c r="R77" s="279"/>
      <c r="S77" s="279"/>
      <c r="T77" s="279"/>
      <c r="U77" s="279"/>
      <c r="V77" s="279"/>
      <c r="W77" s="279"/>
      <c r="X77" s="279"/>
      <c r="Y77" s="279"/>
    </row>
    <row r="78" s="104" customFormat="1" ht="24" customHeight="1" spans="1:25">
      <c r="A78" s="362"/>
      <c r="B78" s="363"/>
      <c r="C78" s="364"/>
      <c r="D78" s="365"/>
      <c r="E78" s="366" t="str">
        <f>IF(D78="","",VLOOKUP(D78,'[4]Account Code'!$A$3:$D$273,2,0))</f>
        <v/>
      </c>
      <c r="F78" s="367"/>
      <c r="G78" s="368"/>
      <c r="H78" s="368"/>
      <c r="I78" s="369">
        <f>IFERROR(VLOOKUP(O78,[4]CREDITORS!A:B,2,0),"")</f>
        <v>0</v>
      </c>
      <c r="J78" s="370"/>
      <c r="K78" s="370"/>
      <c r="L78" s="371">
        <f t="shared" si="4"/>
        <v>22220976.69</v>
      </c>
      <c r="M78" s="372"/>
      <c r="N78" s="373"/>
      <c r="O78" s="345"/>
      <c r="P78" s="345"/>
      <c r="Q78" s="347">
        <f t="shared" si="3"/>
        <v>0</v>
      </c>
      <c r="R78" s="279"/>
      <c r="S78" s="279"/>
      <c r="T78" s="279"/>
      <c r="U78" s="279"/>
      <c r="V78" s="279"/>
      <c r="W78" s="279"/>
      <c r="X78" s="279"/>
      <c r="Y78" s="279"/>
    </row>
    <row r="79" s="104" customFormat="1" ht="24" customHeight="1" spans="1:25">
      <c r="A79" s="362"/>
      <c r="B79" s="363"/>
      <c r="C79" s="364"/>
      <c r="D79" s="365"/>
      <c r="E79" s="366" t="str">
        <f>IF(D79="","",VLOOKUP(D79,'[4]Account Code'!$A$3:$D$273,2,0))</f>
        <v/>
      </c>
      <c r="F79" s="367"/>
      <c r="G79" s="368"/>
      <c r="H79" s="368"/>
      <c r="I79" s="369">
        <f>IFERROR(VLOOKUP(O79,[4]CREDITORS!A:B,2,0),"")</f>
        <v>0</v>
      </c>
      <c r="J79" s="370"/>
      <c r="K79" s="370"/>
      <c r="L79" s="371">
        <f t="shared" si="4"/>
        <v>22220976.69</v>
      </c>
      <c r="M79" s="372"/>
      <c r="N79" s="373"/>
      <c r="O79" s="345"/>
      <c r="P79" s="345"/>
      <c r="Q79" s="347">
        <f t="shared" si="3"/>
        <v>0</v>
      </c>
      <c r="R79" s="279"/>
      <c r="S79" s="279"/>
      <c r="T79" s="279"/>
      <c r="U79" s="279"/>
      <c r="V79" s="279"/>
      <c r="W79" s="279"/>
      <c r="X79" s="379"/>
      <c r="Y79" s="379"/>
    </row>
    <row r="80" s="104" customFormat="1" ht="24" customHeight="1" spans="1:25">
      <c r="A80" s="362"/>
      <c r="B80" s="363"/>
      <c r="C80" s="364"/>
      <c r="D80" s="365"/>
      <c r="E80" s="366" t="str">
        <f>IF(D80="","",VLOOKUP(D80,'[4]Account Code'!$A$3:$D$273,2,0))</f>
        <v/>
      </c>
      <c r="F80" s="367"/>
      <c r="G80" s="368"/>
      <c r="H80" s="368"/>
      <c r="I80" s="369">
        <f>IFERROR(VLOOKUP(O80,[4]CREDITORS!A:B,2,0),"")</f>
        <v>0</v>
      </c>
      <c r="J80" s="370"/>
      <c r="K80" s="370"/>
      <c r="L80" s="371">
        <f t="shared" si="4"/>
        <v>22220976.69</v>
      </c>
      <c r="M80" s="372"/>
      <c r="N80" s="373"/>
      <c r="O80" s="345"/>
      <c r="P80" s="345"/>
      <c r="Q80" s="347">
        <f t="shared" si="3"/>
        <v>0</v>
      </c>
      <c r="R80" s="279"/>
      <c r="S80" s="279"/>
      <c r="T80" s="279"/>
      <c r="U80" s="279"/>
      <c r="V80" s="279"/>
      <c r="W80" s="279"/>
      <c r="X80" s="379"/>
      <c r="Y80" s="379"/>
    </row>
    <row r="81" s="104" customFormat="1" ht="24" customHeight="1" spans="1:25">
      <c r="A81" s="362"/>
      <c r="B81" s="363"/>
      <c r="C81" s="364"/>
      <c r="D81" s="365"/>
      <c r="E81" s="366" t="str">
        <f>IF(D81="","",VLOOKUP(D81,'[4]Account Code'!$A$3:$D$273,2,0))</f>
        <v/>
      </c>
      <c r="F81" s="367"/>
      <c r="G81" s="368"/>
      <c r="H81" s="368"/>
      <c r="I81" s="369">
        <f>IFERROR(VLOOKUP(O81,[4]CREDITORS!A:B,2,0),"")</f>
        <v>0</v>
      </c>
      <c r="J81" s="370"/>
      <c r="K81" s="370"/>
      <c r="L81" s="371">
        <f t="shared" si="4"/>
        <v>22220976.69</v>
      </c>
      <c r="M81" s="372"/>
      <c r="N81" s="373"/>
      <c r="O81" s="345"/>
      <c r="P81" s="345"/>
      <c r="Q81" s="347">
        <f t="shared" si="3"/>
        <v>0</v>
      </c>
      <c r="R81" s="279"/>
      <c r="S81" s="279"/>
      <c r="T81" s="279"/>
      <c r="U81" s="279"/>
      <c r="V81" s="279"/>
      <c r="W81" s="279"/>
      <c r="X81" s="279"/>
      <c r="Y81" s="279"/>
    </row>
    <row r="82" s="104" customFormat="1" ht="24" customHeight="1" spans="1:25">
      <c r="A82" s="362"/>
      <c r="B82" s="363"/>
      <c r="C82" s="364"/>
      <c r="D82" s="365"/>
      <c r="E82" s="366" t="str">
        <f>IF(D82="","",VLOOKUP(D82,'[4]Account Code'!$A$3:$D$273,2,0))</f>
        <v/>
      </c>
      <c r="F82" s="367"/>
      <c r="G82" s="368"/>
      <c r="H82" s="368"/>
      <c r="I82" s="369">
        <f>IFERROR(VLOOKUP(O82,[4]CREDITORS!A:B,2,0),"")</f>
        <v>0</v>
      </c>
      <c r="J82" s="370"/>
      <c r="K82" s="370"/>
      <c r="L82" s="371">
        <f t="shared" si="4"/>
        <v>22220976.69</v>
      </c>
      <c r="M82" s="372"/>
      <c r="N82" s="373"/>
      <c r="O82" s="345"/>
      <c r="P82" s="345"/>
      <c r="Q82" s="347">
        <f t="shared" si="3"/>
        <v>0</v>
      </c>
      <c r="R82" s="279"/>
      <c r="S82" s="279"/>
      <c r="T82" s="279"/>
      <c r="U82" s="279"/>
      <c r="V82" s="279"/>
      <c r="W82" s="279"/>
      <c r="X82" s="279"/>
      <c r="Y82" s="279"/>
    </row>
    <row r="83" s="104" customFormat="1" ht="24" customHeight="1" spans="1:25">
      <c r="A83" s="362"/>
      <c r="B83" s="363"/>
      <c r="C83" s="364"/>
      <c r="D83" s="365"/>
      <c r="E83" s="366" t="str">
        <f>IF(D83="","",VLOOKUP(D83,'[4]Account Code'!$A$3:$D$273,2,0))</f>
        <v/>
      </c>
      <c r="F83" s="367"/>
      <c r="G83" s="368"/>
      <c r="H83" s="368"/>
      <c r="I83" s="369">
        <f>IFERROR(VLOOKUP(O83,[4]CREDITORS!A:B,2,0),"")</f>
        <v>0</v>
      </c>
      <c r="J83" s="370"/>
      <c r="K83" s="370"/>
      <c r="L83" s="371">
        <f t="shared" si="4"/>
        <v>22220976.69</v>
      </c>
      <c r="M83" s="372"/>
      <c r="N83" s="373"/>
      <c r="O83" s="345"/>
      <c r="P83" s="345"/>
      <c r="Q83" s="347">
        <f t="shared" si="3"/>
        <v>0</v>
      </c>
      <c r="R83" s="279"/>
      <c r="S83" s="279"/>
      <c r="T83" s="279"/>
      <c r="U83" s="279"/>
      <c r="V83" s="279"/>
      <c r="W83" s="279"/>
      <c r="X83" s="279"/>
      <c r="Y83" s="279"/>
    </row>
    <row r="84" s="104" customFormat="1" ht="24.75" customHeight="1" spans="1:25">
      <c r="A84" s="362"/>
      <c r="B84" s="363"/>
      <c r="C84" s="364"/>
      <c r="D84" s="365"/>
      <c r="E84" s="366" t="str">
        <f>IF(D84="","",VLOOKUP(D84,'[4]Account Code'!$A$3:$D$273,2,0))</f>
        <v/>
      </c>
      <c r="F84" s="367"/>
      <c r="G84" s="368"/>
      <c r="H84" s="368"/>
      <c r="I84" s="369">
        <f>IFERROR(VLOOKUP(O84,[4]CREDITORS!A:B,2,0),"")</f>
        <v>0</v>
      </c>
      <c r="J84" s="370"/>
      <c r="K84" s="370"/>
      <c r="L84" s="371">
        <f t="shared" si="4"/>
        <v>22220976.69</v>
      </c>
      <c r="M84" s="372"/>
      <c r="N84" s="373"/>
      <c r="O84" s="345"/>
      <c r="P84" s="345"/>
      <c r="Q84" s="347">
        <f t="shared" si="3"/>
        <v>0</v>
      </c>
      <c r="R84" s="279"/>
      <c r="S84" s="279"/>
      <c r="T84" s="279"/>
      <c r="U84" s="279"/>
      <c r="V84" s="279"/>
      <c r="W84" s="279"/>
      <c r="X84" s="279"/>
      <c r="Y84" s="279"/>
    </row>
    <row r="85" s="104" customFormat="1" ht="24.75" customHeight="1" spans="1:25">
      <c r="A85" s="362"/>
      <c r="B85" s="363"/>
      <c r="C85" s="364"/>
      <c r="D85" s="365"/>
      <c r="E85" s="366" t="str">
        <f>IF(D85="","",VLOOKUP(D85,'[4]Account Code'!$A$3:$D$273,2,0))</f>
        <v/>
      </c>
      <c r="F85" s="367"/>
      <c r="G85" s="368"/>
      <c r="H85" s="368"/>
      <c r="I85" s="369">
        <f>IFERROR(VLOOKUP(O85,[4]CREDITORS!A:B,2,0),"")</f>
        <v>0</v>
      </c>
      <c r="J85" s="370"/>
      <c r="K85" s="370"/>
      <c r="L85" s="371">
        <f t="shared" si="4"/>
        <v>22220976.69</v>
      </c>
      <c r="M85" s="372"/>
      <c r="N85" s="373"/>
      <c r="O85" s="345"/>
      <c r="P85" s="345"/>
      <c r="Q85" s="347">
        <f t="shared" si="3"/>
        <v>0</v>
      </c>
      <c r="R85" s="279"/>
      <c r="S85" s="279"/>
      <c r="T85" s="279"/>
      <c r="U85" s="279"/>
      <c r="V85" s="279"/>
      <c r="W85" s="279"/>
      <c r="X85" s="279"/>
      <c r="Y85" s="279"/>
    </row>
    <row r="86" s="104" customFormat="1" ht="24.75" customHeight="1" spans="1:25">
      <c r="A86" s="362"/>
      <c r="B86" s="363"/>
      <c r="C86" s="364"/>
      <c r="D86" s="365"/>
      <c r="E86" s="366" t="str">
        <f>IF(D86="","",VLOOKUP(D86,'[3]Account Code'!$A$3:$D$273,2,0))</f>
        <v/>
      </c>
      <c r="F86" s="367"/>
      <c r="G86" s="368"/>
      <c r="H86" s="368"/>
      <c r="I86" s="369">
        <f>IFERROR(VLOOKUP(O86,[4]CREDITORS!A:B,2,0),"")</f>
        <v>0</v>
      </c>
      <c r="J86" s="370"/>
      <c r="K86" s="370"/>
      <c r="L86" s="371">
        <f t="shared" si="4"/>
        <v>22220976.69</v>
      </c>
      <c r="M86" s="372"/>
      <c r="N86" s="373"/>
      <c r="O86" s="345"/>
      <c r="P86" s="345"/>
      <c r="Q86" s="347">
        <f t="shared" si="3"/>
        <v>0</v>
      </c>
      <c r="R86" s="279"/>
      <c r="S86" s="279"/>
      <c r="T86" s="279"/>
      <c r="U86" s="279"/>
      <c r="V86" s="279"/>
      <c r="W86" s="279"/>
      <c r="X86" s="279"/>
      <c r="Y86" s="279"/>
    </row>
    <row r="87" s="104" customFormat="1" ht="24.75" customHeight="1" spans="1:25">
      <c r="A87" s="362"/>
      <c r="B87" s="363"/>
      <c r="C87" s="364"/>
      <c r="D87" s="365"/>
      <c r="E87" s="366" t="str">
        <f>IF(D87="","",VLOOKUP(D87,'[4]Account Code'!$A$3:$D$273,2,0))</f>
        <v/>
      </c>
      <c r="F87" s="367"/>
      <c r="G87" s="368"/>
      <c r="H87" s="368"/>
      <c r="I87" s="369">
        <f>IFERROR(VLOOKUP(O87,[4]CREDITORS!A:B,2,0),"")</f>
        <v>0</v>
      </c>
      <c r="J87" s="370"/>
      <c r="K87" s="370"/>
      <c r="L87" s="371">
        <f t="shared" si="4"/>
        <v>22220976.69</v>
      </c>
      <c r="M87" s="372"/>
      <c r="N87" s="373"/>
      <c r="O87" s="345"/>
      <c r="P87" s="345"/>
      <c r="Q87" s="347">
        <f t="shared" si="3"/>
        <v>0</v>
      </c>
      <c r="R87" s="279"/>
      <c r="S87" s="279"/>
      <c r="T87" s="279"/>
      <c r="U87" s="279"/>
      <c r="V87" s="279"/>
      <c r="W87" s="279"/>
      <c r="X87" s="279"/>
      <c r="Y87" s="279"/>
    </row>
    <row r="88" s="104" customFormat="1" ht="24.75" customHeight="1" spans="1:25">
      <c r="A88" s="362"/>
      <c r="B88" s="363"/>
      <c r="C88" s="364"/>
      <c r="D88" s="365"/>
      <c r="E88" s="366" t="str">
        <f>IF(D88="","",VLOOKUP(D88,'[4]Account Code'!$A$3:$D$273,2,0))</f>
        <v/>
      </c>
      <c r="F88" s="367"/>
      <c r="G88" s="368"/>
      <c r="H88" s="368"/>
      <c r="I88" s="369">
        <f>IFERROR(VLOOKUP(O88,[4]CREDITORS!A:B,2,0),"")</f>
        <v>0</v>
      </c>
      <c r="J88" s="370"/>
      <c r="K88" s="370"/>
      <c r="L88" s="371">
        <f t="shared" si="4"/>
        <v>22220976.69</v>
      </c>
      <c r="M88" s="372"/>
      <c r="N88" s="373"/>
      <c r="O88" s="345"/>
      <c r="P88" s="345"/>
      <c r="Q88" s="347">
        <f t="shared" si="3"/>
        <v>0</v>
      </c>
      <c r="R88" s="279"/>
      <c r="S88" s="279"/>
      <c r="T88" s="279"/>
      <c r="U88" s="279"/>
      <c r="V88" s="279"/>
      <c r="W88" s="279"/>
      <c r="X88" s="279"/>
      <c r="Y88" s="279"/>
    </row>
    <row r="89" s="104" customFormat="1" ht="24.75" customHeight="1" spans="1:25">
      <c r="A89" s="362"/>
      <c r="B89" s="363"/>
      <c r="C89" s="364"/>
      <c r="D89" s="365"/>
      <c r="E89" s="366" t="str">
        <f>IF(D89="","",VLOOKUP(D89,'[4]Account Code'!$A$3:$D$273,2,0))</f>
        <v/>
      </c>
      <c r="F89" s="367"/>
      <c r="G89" s="368"/>
      <c r="H89" s="368"/>
      <c r="I89" s="369">
        <f>IFERROR(VLOOKUP(O89,[4]CREDITORS!A:B,2,0),"")</f>
        <v>0</v>
      </c>
      <c r="J89" s="370"/>
      <c r="K89" s="370"/>
      <c r="L89" s="371">
        <f t="shared" si="4"/>
        <v>22220976.69</v>
      </c>
      <c r="M89" s="372"/>
      <c r="N89" s="373"/>
      <c r="O89" s="345"/>
      <c r="P89" s="345"/>
      <c r="Q89" s="347">
        <f t="shared" si="3"/>
        <v>0</v>
      </c>
      <c r="R89" s="279"/>
      <c r="S89" s="279"/>
      <c r="T89" s="279"/>
      <c r="U89" s="279"/>
      <c r="V89" s="279"/>
      <c r="W89" s="279"/>
      <c r="X89" s="279"/>
      <c r="Y89" s="279"/>
    </row>
    <row r="90" s="104" customFormat="1" ht="24.75" customHeight="1" spans="1:25">
      <c r="A90" s="362"/>
      <c r="B90" s="363"/>
      <c r="C90" s="364"/>
      <c r="D90" s="365"/>
      <c r="E90" s="366" t="str">
        <f>IF(D90="","",VLOOKUP(D90,'[4]Account Code'!$A$3:$D$273,2,0))</f>
        <v/>
      </c>
      <c r="F90" s="367"/>
      <c r="G90" s="368"/>
      <c r="H90" s="368"/>
      <c r="I90" s="369">
        <f>IFERROR(VLOOKUP(O90,[4]CREDITORS!A:B,2,0),"")</f>
        <v>0</v>
      </c>
      <c r="J90" s="370"/>
      <c r="K90" s="370"/>
      <c r="L90" s="371">
        <f t="shared" si="4"/>
        <v>22220976.69</v>
      </c>
      <c r="M90" s="372"/>
      <c r="N90" s="373"/>
      <c r="O90" s="345"/>
      <c r="P90" s="345"/>
      <c r="Q90" s="347">
        <f t="shared" si="3"/>
        <v>0</v>
      </c>
      <c r="R90" s="279"/>
      <c r="S90" s="279"/>
      <c r="T90" s="279"/>
      <c r="U90" s="279"/>
      <c r="V90" s="279"/>
      <c r="W90" s="279"/>
      <c r="X90" s="279"/>
      <c r="Y90" s="279"/>
    </row>
    <row r="91" s="104" customFormat="1" ht="24.75" customHeight="1" spans="1:25">
      <c r="A91" s="362"/>
      <c r="B91" s="363"/>
      <c r="C91" s="364"/>
      <c r="D91" s="365"/>
      <c r="E91" s="366" t="str">
        <f>IF(D91="","",VLOOKUP(D91,'[4]Account Code'!$A$3:$D$273,2,0))</f>
        <v/>
      </c>
      <c r="F91" s="367"/>
      <c r="G91" s="368"/>
      <c r="H91" s="368"/>
      <c r="I91" s="369">
        <f>IFERROR(VLOOKUP(O91,[4]CREDITORS!A:B,2,0),"")</f>
        <v>0</v>
      </c>
      <c r="J91" s="370"/>
      <c r="K91" s="370"/>
      <c r="L91" s="371">
        <f t="shared" si="4"/>
        <v>22220976.69</v>
      </c>
      <c r="M91" s="372"/>
      <c r="N91" s="373"/>
      <c r="O91" s="345"/>
      <c r="P91" s="345"/>
      <c r="Q91" s="347">
        <f t="shared" si="3"/>
        <v>0</v>
      </c>
      <c r="R91" s="279"/>
      <c r="S91" s="279"/>
      <c r="T91" s="279"/>
      <c r="U91" s="279"/>
      <c r="V91" s="279"/>
      <c r="W91" s="279"/>
      <c r="X91" s="279"/>
      <c r="Y91" s="279"/>
    </row>
    <row r="92" s="104" customFormat="1" ht="24.75" customHeight="1" spans="1:25">
      <c r="A92" s="362"/>
      <c r="B92" s="363"/>
      <c r="C92" s="364"/>
      <c r="D92" s="365"/>
      <c r="E92" s="366" t="str">
        <f>IF(D92="","",VLOOKUP(D92,'[4]Account Code'!$A$3:$D$273,2,0))</f>
        <v/>
      </c>
      <c r="F92" s="367"/>
      <c r="G92" s="368"/>
      <c r="H92" s="368"/>
      <c r="I92" s="369">
        <f>IFERROR(VLOOKUP(O92,[4]CREDITORS!A:B,2,0),"")</f>
        <v>0</v>
      </c>
      <c r="J92" s="370"/>
      <c r="K92" s="370"/>
      <c r="L92" s="371">
        <f t="shared" si="4"/>
        <v>22220976.69</v>
      </c>
      <c r="M92" s="372"/>
      <c r="N92" s="373"/>
      <c r="O92" s="345"/>
      <c r="P92" s="345"/>
      <c r="Q92" s="347">
        <f t="shared" si="3"/>
        <v>0</v>
      </c>
      <c r="R92" s="279"/>
      <c r="S92" s="279"/>
      <c r="T92" s="279"/>
      <c r="U92" s="279"/>
      <c r="V92" s="279"/>
      <c r="W92" s="279"/>
      <c r="X92" s="279"/>
      <c r="Y92" s="279"/>
    </row>
    <row r="93" s="104" customFormat="1" ht="24" customHeight="1" spans="1:25">
      <c r="A93" s="362"/>
      <c r="B93" s="363"/>
      <c r="C93" s="364"/>
      <c r="D93" s="365"/>
      <c r="E93" s="366" t="str">
        <f>IF(D93="","",VLOOKUP(D93,'[4]Account Code'!$A$3:$D$273,2,0))</f>
        <v/>
      </c>
      <c r="F93" s="367"/>
      <c r="G93" s="368"/>
      <c r="H93" s="368"/>
      <c r="I93" s="369">
        <f>IFERROR(VLOOKUP(O93,[4]CREDITORS!A:B,2,0),"")</f>
        <v>0</v>
      </c>
      <c r="J93" s="370"/>
      <c r="K93" s="370"/>
      <c r="L93" s="371">
        <f t="shared" si="4"/>
        <v>22220976.69</v>
      </c>
      <c r="M93" s="372"/>
      <c r="N93" s="373"/>
      <c r="O93" s="345"/>
      <c r="P93" s="345"/>
      <c r="Q93" s="347">
        <f t="shared" si="3"/>
        <v>0</v>
      </c>
      <c r="R93" s="279"/>
      <c r="S93" s="279"/>
      <c r="T93" s="279"/>
      <c r="U93" s="279"/>
      <c r="V93" s="279"/>
      <c r="W93" s="279"/>
      <c r="X93" s="279"/>
      <c r="Y93" s="279"/>
    </row>
    <row r="94" s="104" customFormat="1" ht="24" customHeight="1" spans="1:25">
      <c r="A94" s="362"/>
      <c r="B94" s="363"/>
      <c r="C94" s="364"/>
      <c r="D94" s="365"/>
      <c r="E94" s="366" t="str">
        <f>IF(D94="","",VLOOKUP(D94,'[4]Account Code'!$A$3:$D$273,2,0))</f>
        <v/>
      </c>
      <c r="F94" s="367"/>
      <c r="G94" s="368"/>
      <c r="H94" s="368"/>
      <c r="I94" s="369">
        <f>IFERROR(VLOOKUP(O94,[4]CREDITORS!A:B,2,0),"")</f>
        <v>0</v>
      </c>
      <c r="J94" s="370"/>
      <c r="K94" s="370"/>
      <c r="L94" s="371">
        <f t="shared" si="4"/>
        <v>22220976.69</v>
      </c>
      <c r="M94" s="372"/>
      <c r="N94" s="373"/>
      <c r="O94" s="345"/>
      <c r="P94" s="345"/>
      <c r="Q94" s="347">
        <f t="shared" si="3"/>
        <v>0</v>
      </c>
      <c r="R94" s="279"/>
      <c r="S94" s="279"/>
      <c r="T94" s="279"/>
      <c r="U94" s="279"/>
      <c r="V94" s="279"/>
      <c r="W94" s="279"/>
      <c r="X94" s="279"/>
      <c r="Y94" s="279"/>
    </row>
    <row r="95" s="104" customFormat="1" ht="24" customHeight="1" spans="1:25">
      <c r="A95" s="362"/>
      <c r="B95" s="363"/>
      <c r="C95" s="364"/>
      <c r="D95" s="365"/>
      <c r="E95" s="366" t="str">
        <f>IF(D95="","",VLOOKUP(D95,'[4]Account Code'!$A$3:$D$273,2,0))</f>
        <v/>
      </c>
      <c r="F95" s="367"/>
      <c r="G95" s="368"/>
      <c r="H95" s="368"/>
      <c r="I95" s="369">
        <f>IFERROR(VLOOKUP(O95,[4]CREDITORS!A:B,2,0),"")</f>
        <v>0</v>
      </c>
      <c r="J95" s="370"/>
      <c r="K95" s="370"/>
      <c r="L95" s="371">
        <f t="shared" si="4"/>
        <v>22220976.69</v>
      </c>
      <c r="M95" s="372"/>
      <c r="N95" s="373"/>
      <c r="O95" s="345"/>
      <c r="P95" s="345"/>
      <c r="Q95" s="347">
        <f t="shared" si="3"/>
        <v>0</v>
      </c>
      <c r="R95" s="279"/>
      <c r="S95" s="279"/>
      <c r="T95" s="279"/>
      <c r="U95" s="279"/>
      <c r="V95" s="279"/>
      <c r="W95" s="279"/>
      <c r="X95" s="279"/>
      <c r="Y95" s="279"/>
    </row>
    <row r="96" s="104" customFormat="1" ht="24" customHeight="1" spans="1:25">
      <c r="A96" s="362"/>
      <c r="B96" s="363"/>
      <c r="C96" s="364"/>
      <c r="D96" s="365"/>
      <c r="E96" s="366" t="str">
        <f>IF(D96="","",VLOOKUP(D96,'[4]Account Code'!$A$3:$D$273,2,0))</f>
        <v/>
      </c>
      <c r="F96" s="367"/>
      <c r="G96" s="368"/>
      <c r="H96" s="368"/>
      <c r="I96" s="369">
        <f>IFERROR(VLOOKUP(O96,[4]CREDITORS!A:B,2,0),"")</f>
        <v>0</v>
      </c>
      <c r="J96" s="370"/>
      <c r="K96" s="370"/>
      <c r="L96" s="371">
        <f t="shared" si="4"/>
        <v>22220976.69</v>
      </c>
      <c r="M96" s="372"/>
      <c r="N96" s="373"/>
      <c r="O96" s="345"/>
      <c r="P96" s="345"/>
      <c r="Q96" s="347">
        <f t="shared" si="3"/>
        <v>0</v>
      </c>
      <c r="R96" s="279"/>
      <c r="S96" s="279"/>
      <c r="T96" s="279"/>
      <c r="U96" s="279"/>
      <c r="V96" s="279"/>
      <c r="W96" s="279"/>
      <c r="X96" s="279"/>
      <c r="Y96" s="279"/>
    </row>
    <row r="97" s="104" customFormat="1" ht="24" customHeight="1" spans="1:25">
      <c r="A97" s="362"/>
      <c r="B97" s="363"/>
      <c r="C97" s="364"/>
      <c r="D97" s="365"/>
      <c r="E97" s="366" t="str">
        <f>IF(D97="","",VLOOKUP(D97,'[4]Account Code'!$A$3:$D$273,2,0))</f>
        <v/>
      </c>
      <c r="F97" s="367"/>
      <c r="G97" s="368"/>
      <c r="H97" s="368"/>
      <c r="I97" s="369">
        <f>IFERROR(VLOOKUP(O97,[4]CREDITORS!A:B,2,0),"")</f>
        <v>0</v>
      </c>
      <c r="J97" s="370"/>
      <c r="K97" s="370"/>
      <c r="L97" s="371">
        <f t="shared" si="4"/>
        <v>22220976.69</v>
      </c>
      <c r="M97" s="372"/>
      <c r="N97" s="373"/>
      <c r="O97" s="345"/>
      <c r="P97" s="345"/>
      <c r="Q97" s="347">
        <f t="shared" si="3"/>
        <v>0</v>
      </c>
      <c r="R97" s="279"/>
      <c r="S97" s="279"/>
      <c r="T97" s="279"/>
      <c r="U97" s="279"/>
      <c r="V97" s="279"/>
      <c r="W97" s="279"/>
      <c r="X97" s="279"/>
      <c r="Y97" s="279"/>
    </row>
    <row r="98" s="104" customFormat="1" ht="24" customHeight="1" spans="1:25">
      <c r="A98" s="362"/>
      <c r="B98" s="363"/>
      <c r="C98" s="364"/>
      <c r="D98" s="365"/>
      <c r="E98" s="366" t="str">
        <f>IF(D98="","",VLOOKUP(D98,'[4]Account Code'!$A$3:$D$273,2,0))</f>
        <v/>
      </c>
      <c r="F98" s="367"/>
      <c r="G98" s="368"/>
      <c r="H98" s="368"/>
      <c r="I98" s="369">
        <f>IFERROR(VLOOKUP(O98,[4]CREDITORS!A:B,2,0),"")</f>
        <v>0</v>
      </c>
      <c r="J98" s="370"/>
      <c r="K98" s="370"/>
      <c r="L98" s="371">
        <f t="shared" si="4"/>
        <v>22220976.69</v>
      </c>
      <c r="M98" s="372"/>
      <c r="N98" s="373"/>
      <c r="O98" s="345"/>
      <c r="P98" s="345"/>
      <c r="Q98" s="347">
        <f t="shared" si="3"/>
        <v>0</v>
      </c>
      <c r="R98" s="279"/>
      <c r="S98" s="279"/>
      <c r="T98" s="279"/>
      <c r="U98" s="279"/>
      <c r="V98" s="279"/>
      <c r="W98" s="279"/>
      <c r="X98" s="279"/>
      <c r="Y98" s="279"/>
    </row>
    <row r="99" s="104" customFormat="1" ht="24" customHeight="1" spans="1:25">
      <c r="A99" s="362"/>
      <c r="B99" s="363"/>
      <c r="C99" s="364"/>
      <c r="D99" s="365"/>
      <c r="E99" s="366" t="str">
        <f>IF(D99="","",VLOOKUP(D99,'[4]Account Code'!$A$3:$D$273,2,0))</f>
        <v/>
      </c>
      <c r="F99" s="367"/>
      <c r="G99" s="368"/>
      <c r="H99" s="368"/>
      <c r="I99" s="369">
        <f>IFERROR(VLOOKUP(O99,[4]CREDITORS!A:B,2,0),"")</f>
        <v>0</v>
      </c>
      <c r="J99" s="370"/>
      <c r="K99" s="370"/>
      <c r="L99" s="371">
        <f t="shared" si="4"/>
        <v>22220976.69</v>
      </c>
      <c r="M99" s="372"/>
      <c r="N99" s="373"/>
      <c r="O99" s="345"/>
      <c r="P99" s="345"/>
      <c r="Q99" s="347">
        <f t="shared" si="3"/>
        <v>0</v>
      </c>
      <c r="R99" s="279"/>
      <c r="S99" s="279"/>
      <c r="T99" s="279"/>
      <c r="U99" s="279"/>
      <c r="V99" s="279"/>
      <c r="W99" s="279"/>
      <c r="X99" s="279"/>
      <c r="Y99" s="279"/>
    </row>
    <row r="100" s="104" customFormat="1" ht="24" customHeight="1" spans="1:25">
      <c r="A100" s="362"/>
      <c r="B100" s="363"/>
      <c r="C100" s="364"/>
      <c r="D100" s="365"/>
      <c r="E100" s="366" t="str">
        <f>IF(D100="","",VLOOKUP(D100,'[4]Account Code'!$A$3:$D$273,2,0))</f>
        <v/>
      </c>
      <c r="F100" s="367"/>
      <c r="G100" s="368"/>
      <c r="H100" s="368"/>
      <c r="I100" s="369">
        <f>IFERROR(VLOOKUP(O100,[4]CREDITORS!A:B,2,0),"")</f>
        <v>0</v>
      </c>
      <c r="J100" s="370"/>
      <c r="K100" s="370"/>
      <c r="L100" s="371">
        <f t="shared" si="4"/>
        <v>22220976.69</v>
      </c>
      <c r="M100" s="372"/>
      <c r="N100" s="373"/>
      <c r="O100" s="345"/>
      <c r="P100" s="345"/>
      <c r="Q100" s="347">
        <f t="shared" si="3"/>
        <v>0</v>
      </c>
      <c r="R100" s="279"/>
      <c r="S100" s="279"/>
      <c r="T100" s="279"/>
      <c r="U100" s="279"/>
      <c r="V100" s="279"/>
      <c r="W100" s="279"/>
      <c r="X100" s="279"/>
      <c r="Y100" s="279"/>
    </row>
    <row r="101" s="104" customFormat="1" ht="24" customHeight="1" spans="1:25">
      <c r="A101" s="362"/>
      <c r="B101" s="363"/>
      <c r="C101" s="364"/>
      <c r="D101" s="365"/>
      <c r="E101" s="366" t="str">
        <f>IF(D101="","",VLOOKUP(D101,'[4]Account Code'!$A$3:$D$273,2,0))</f>
        <v/>
      </c>
      <c r="F101" s="367"/>
      <c r="G101" s="368"/>
      <c r="H101" s="368"/>
      <c r="I101" s="369">
        <f>IFERROR(VLOOKUP(O101,[4]CREDITORS!A:B,2,0),"")</f>
        <v>0</v>
      </c>
      <c r="J101" s="370"/>
      <c r="K101" s="370"/>
      <c r="L101" s="371">
        <f t="shared" si="4"/>
        <v>22220976.69</v>
      </c>
      <c r="M101" s="372"/>
      <c r="N101" s="373"/>
      <c r="O101" s="345"/>
      <c r="P101" s="345"/>
      <c r="Q101" s="347">
        <f t="shared" si="3"/>
        <v>0</v>
      </c>
      <c r="R101" s="279"/>
      <c r="S101" s="279"/>
      <c r="T101" s="279"/>
      <c r="U101" s="279"/>
      <c r="V101" s="279"/>
      <c r="W101" s="279"/>
      <c r="X101" s="279"/>
      <c r="Y101" s="279"/>
    </row>
    <row r="102" s="104" customFormat="1" ht="24" customHeight="1" spans="1:25">
      <c r="A102" s="362"/>
      <c r="B102" s="363"/>
      <c r="C102" s="364"/>
      <c r="D102" s="365"/>
      <c r="E102" s="366" t="str">
        <f>IF(D102="","",VLOOKUP(D102,'[4]Account Code'!$A$3:$D$273,2,0))</f>
        <v/>
      </c>
      <c r="F102" s="367"/>
      <c r="G102" s="368"/>
      <c r="H102" s="368"/>
      <c r="I102" s="369">
        <f>IFERROR(VLOOKUP(O102,[4]CREDITORS!A:B,2,0),"")</f>
        <v>0</v>
      </c>
      <c r="J102" s="370"/>
      <c r="K102" s="370"/>
      <c r="L102" s="371">
        <f t="shared" si="4"/>
        <v>22220976.69</v>
      </c>
      <c r="M102" s="372"/>
      <c r="N102" s="373"/>
      <c r="O102" s="345"/>
      <c r="P102" s="345"/>
      <c r="Q102" s="347">
        <f t="shared" si="3"/>
        <v>0</v>
      </c>
      <c r="R102" s="279"/>
      <c r="S102" s="279"/>
      <c r="T102" s="279"/>
      <c r="U102" s="279"/>
      <c r="V102" s="279"/>
      <c r="W102" s="279"/>
      <c r="X102" s="279"/>
      <c r="Y102" s="279"/>
    </row>
    <row r="103" s="104" customFormat="1" ht="23.25" customHeight="1" spans="1:25">
      <c r="A103" s="362"/>
      <c r="B103" s="363"/>
      <c r="C103" s="364"/>
      <c r="D103" s="365"/>
      <c r="E103" s="366" t="str">
        <f>IF(D103="","",VLOOKUP(D103,'[4]Account Code'!$A$3:$D$273,2,0))</f>
        <v/>
      </c>
      <c r="F103" s="367"/>
      <c r="G103" s="368"/>
      <c r="H103" s="368"/>
      <c r="I103" s="369">
        <f>IFERROR(VLOOKUP(O103,[4]CREDITORS!A:B,2,0),"")</f>
        <v>0</v>
      </c>
      <c r="J103" s="370"/>
      <c r="K103" s="370"/>
      <c r="L103" s="371">
        <f t="shared" si="4"/>
        <v>22220976.69</v>
      </c>
      <c r="M103" s="372"/>
      <c r="N103" s="373"/>
      <c r="O103" s="345"/>
      <c r="P103" s="345"/>
      <c r="Q103" s="347">
        <f t="shared" si="3"/>
        <v>0</v>
      </c>
      <c r="R103" s="279"/>
      <c r="S103" s="279"/>
      <c r="T103" s="279"/>
      <c r="U103" s="279"/>
      <c r="V103" s="279"/>
      <c r="W103" s="279"/>
      <c r="X103" s="279"/>
      <c r="Y103" s="279"/>
    </row>
    <row r="104" s="104" customFormat="1" ht="23.25" customHeight="1" spans="1:25">
      <c r="A104" s="362"/>
      <c r="B104" s="363"/>
      <c r="C104" s="364"/>
      <c r="D104" s="365"/>
      <c r="E104" s="366" t="str">
        <f>IF(D104="","",VLOOKUP(D104,'[4]Account Code'!$A$3:$D$273,2,0))</f>
        <v/>
      </c>
      <c r="F104" s="367"/>
      <c r="G104" s="368"/>
      <c r="H104" s="368"/>
      <c r="I104" s="369">
        <f>IFERROR(VLOOKUP(O104,[4]CREDITORS!A:B,2,0),"")</f>
        <v>0</v>
      </c>
      <c r="J104" s="370"/>
      <c r="K104" s="370"/>
      <c r="L104" s="371">
        <f t="shared" si="4"/>
        <v>22220976.69</v>
      </c>
      <c r="M104" s="372"/>
      <c r="N104" s="373"/>
      <c r="O104" s="345"/>
      <c r="P104" s="345"/>
      <c r="Q104" s="347">
        <f t="shared" si="3"/>
        <v>0</v>
      </c>
      <c r="R104" s="279"/>
      <c r="S104" s="279"/>
      <c r="T104" s="279"/>
      <c r="U104" s="279"/>
      <c r="V104" s="279"/>
      <c r="W104" s="279"/>
      <c r="X104" s="279"/>
      <c r="Y104" s="279"/>
    </row>
    <row r="105" s="104" customFormat="1" ht="23.25" customHeight="1" spans="1:25">
      <c r="A105" s="362"/>
      <c r="B105" s="363"/>
      <c r="C105" s="364"/>
      <c r="D105" s="365"/>
      <c r="E105" s="366" t="str">
        <f>IF(D105="","",VLOOKUP(D105,'[4]Account Code'!$A$3:$D$273,2,0))</f>
        <v/>
      </c>
      <c r="F105" s="367"/>
      <c r="G105" s="368"/>
      <c r="H105" s="368"/>
      <c r="I105" s="369">
        <f>IFERROR(VLOOKUP(O105,[4]CREDITORS!A:B,2,0),"")</f>
        <v>0</v>
      </c>
      <c r="J105" s="370"/>
      <c r="K105" s="370"/>
      <c r="L105" s="371">
        <f t="shared" si="4"/>
        <v>22220976.69</v>
      </c>
      <c r="M105" s="372"/>
      <c r="N105" s="373"/>
      <c r="O105" s="345"/>
      <c r="P105" s="345"/>
      <c r="Q105" s="347">
        <f t="shared" si="3"/>
        <v>0</v>
      </c>
      <c r="R105" s="279"/>
      <c r="S105" s="279"/>
      <c r="T105" s="279"/>
      <c r="U105" s="279"/>
      <c r="V105" s="279"/>
      <c r="W105" s="279"/>
      <c r="X105" s="279"/>
      <c r="Y105" s="279"/>
    </row>
    <row r="106" s="104" customFormat="1" ht="23.25" customHeight="1" spans="1:25">
      <c r="A106" s="362"/>
      <c r="B106" s="363"/>
      <c r="C106" s="364"/>
      <c r="D106" s="365"/>
      <c r="E106" s="366" t="str">
        <f>IF(D106="","",VLOOKUP(D106,'[4]Account Code'!$A$3:$D$273,2,0))</f>
        <v/>
      </c>
      <c r="F106" s="367"/>
      <c r="G106" s="368"/>
      <c r="H106" s="368"/>
      <c r="I106" s="369">
        <f>IFERROR(VLOOKUP(O106,[4]CREDITORS!A:B,2,0),"")</f>
        <v>0</v>
      </c>
      <c r="J106" s="370"/>
      <c r="K106" s="370"/>
      <c r="L106" s="371">
        <f t="shared" si="4"/>
        <v>22220976.69</v>
      </c>
      <c r="M106" s="372"/>
      <c r="N106" s="373"/>
      <c r="O106" s="345"/>
      <c r="P106" s="345"/>
      <c r="Q106" s="347">
        <f t="shared" si="3"/>
        <v>0</v>
      </c>
      <c r="R106" s="279"/>
      <c r="S106" s="279"/>
      <c r="T106" s="279"/>
      <c r="U106" s="279"/>
      <c r="V106" s="279"/>
      <c r="W106" s="279"/>
      <c r="X106" s="279"/>
      <c r="Y106" s="279"/>
    </row>
    <row r="107" s="104" customFormat="1" ht="24.75" customHeight="1" spans="1:25">
      <c r="A107" s="362"/>
      <c r="B107" s="363"/>
      <c r="C107" s="364"/>
      <c r="D107" s="365"/>
      <c r="E107" s="366" t="str">
        <f>IF(D107="","",VLOOKUP(D107,'[4]Account Code'!$A$3:$D$273,2,0))</f>
        <v/>
      </c>
      <c r="F107" s="367"/>
      <c r="G107" s="368"/>
      <c r="H107" s="368"/>
      <c r="I107" s="369">
        <f>IFERROR(VLOOKUP(O107,[4]CREDITORS!A:B,2,0),"")</f>
        <v>0</v>
      </c>
      <c r="J107" s="370"/>
      <c r="K107" s="370"/>
      <c r="L107" s="371">
        <f t="shared" si="4"/>
        <v>22220976.69</v>
      </c>
      <c r="M107" s="372"/>
      <c r="N107" s="373"/>
      <c r="O107" s="345"/>
      <c r="P107" s="345"/>
      <c r="Q107" s="347">
        <f t="shared" si="3"/>
        <v>0</v>
      </c>
      <c r="R107" s="279"/>
      <c r="S107" s="279"/>
      <c r="T107" s="279"/>
      <c r="U107" s="279"/>
      <c r="V107" s="279"/>
      <c r="W107" s="279"/>
      <c r="X107" s="279"/>
      <c r="Y107" s="279"/>
    </row>
    <row r="108" s="104" customFormat="1" ht="24" customHeight="1" spans="1:25">
      <c r="A108" s="362"/>
      <c r="B108" s="363"/>
      <c r="C108" s="364"/>
      <c r="D108" s="365"/>
      <c r="E108" s="366" t="str">
        <f>IF(D108="","",VLOOKUP(D108,'[4]Account Code'!$A$3:$D$273,2,0))</f>
        <v/>
      </c>
      <c r="F108" s="367"/>
      <c r="G108" s="368"/>
      <c r="H108" s="368"/>
      <c r="I108" s="369">
        <f>IFERROR(VLOOKUP(O108,[4]CREDITORS!A:B,2,0),"")</f>
        <v>0</v>
      </c>
      <c r="J108" s="370"/>
      <c r="K108" s="370"/>
      <c r="L108" s="371">
        <f t="shared" si="4"/>
        <v>22220976.69</v>
      </c>
      <c r="M108" s="372"/>
      <c r="N108" s="373"/>
      <c r="O108" s="345"/>
      <c r="P108" s="345"/>
      <c r="Q108" s="347">
        <f t="shared" si="3"/>
        <v>0</v>
      </c>
      <c r="R108" s="279"/>
      <c r="S108" s="279"/>
      <c r="T108" s="279"/>
      <c r="U108" s="279"/>
      <c r="V108" s="279"/>
      <c r="W108" s="279"/>
      <c r="X108" s="279"/>
      <c r="Y108" s="279"/>
    </row>
    <row r="109" s="104" customFormat="1" ht="24" customHeight="1" spans="1:25">
      <c r="A109" s="362"/>
      <c r="B109" s="363"/>
      <c r="C109" s="364"/>
      <c r="D109" s="365"/>
      <c r="E109" s="366" t="str">
        <f>IF(D109="","",VLOOKUP(D109,'[4]Account Code'!$A$3:$D$273,2,0))</f>
        <v/>
      </c>
      <c r="F109" s="367"/>
      <c r="G109" s="368"/>
      <c r="H109" s="368"/>
      <c r="I109" s="369">
        <f>IFERROR(VLOOKUP(O109,[4]CREDITORS!A:B,2,0),"")</f>
        <v>0</v>
      </c>
      <c r="J109" s="370"/>
      <c r="K109" s="370"/>
      <c r="L109" s="371">
        <f t="shared" si="4"/>
        <v>22220976.69</v>
      </c>
      <c r="M109" s="372"/>
      <c r="N109" s="373"/>
      <c r="O109" s="345"/>
      <c r="P109" s="345"/>
      <c r="Q109" s="347">
        <f>(LEN(C118))</f>
        <v>0</v>
      </c>
      <c r="R109" s="279"/>
      <c r="S109" s="279"/>
      <c r="T109" s="279"/>
      <c r="U109" s="279"/>
      <c r="V109" s="279"/>
      <c r="W109" s="279"/>
      <c r="X109" s="279"/>
      <c r="Y109" s="279"/>
    </row>
    <row r="110" s="104" customFormat="1" ht="24" customHeight="1" spans="1:25">
      <c r="A110" s="362"/>
      <c r="B110" s="363"/>
      <c r="C110" s="364"/>
      <c r="D110" s="365"/>
      <c r="E110" s="366" t="str">
        <f>IF(D110="","",VLOOKUP(D110,'[4]Account Code'!$A$3:$D$273,2,0))</f>
        <v/>
      </c>
      <c r="F110" s="367"/>
      <c r="G110" s="368"/>
      <c r="H110" s="368"/>
      <c r="I110" s="369">
        <f>IFERROR(VLOOKUP(O110,[4]CREDITORS!A:B,2,0),"")</f>
        <v>0</v>
      </c>
      <c r="J110" s="370"/>
      <c r="K110" s="370"/>
      <c r="L110" s="371">
        <f t="shared" si="4"/>
        <v>22220976.69</v>
      </c>
      <c r="M110" s="372"/>
      <c r="N110" s="373"/>
      <c r="O110" s="345"/>
      <c r="P110" s="345"/>
      <c r="Q110" s="347">
        <f t="shared" ref="Q110:Q173" si="5">(LEN(C110))</f>
        <v>0</v>
      </c>
      <c r="R110" s="279"/>
      <c r="S110" s="279"/>
      <c r="T110" s="279"/>
      <c r="U110" s="279"/>
      <c r="V110" s="279"/>
      <c r="W110" s="279"/>
      <c r="X110" s="279"/>
      <c r="Y110" s="279"/>
    </row>
    <row r="111" s="104" customFormat="1" ht="24" customHeight="1" spans="1:25">
      <c r="A111" s="362"/>
      <c r="B111" s="363"/>
      <c r="C111" s="364"/>
      <c r="D111" s="365"/>
      <c r="E111" s="366" t="str">
        <f>IF(D111="","",VLOOKUP(D111,'[4]Account Code'!$A$3:$D$273,2,0))</f>
        <v/>
      </c>
      <c r="F111" s="367"/>
      <c r="G111" s="368"/>
      <c r="H111" s="368"/>
      <c r="I111" s="369">
        <f>IFERROR(VLOOKUP(O111,[4]CREDITORS!A:B,2,0),"")</f>
        <v>0</v>
      </c>
      <c r="J111" s="370"/>
      <c r="K111" s="370"/>
      <c r="L111" s="371">
        <f t="shared" si="4"/>
        <v>22220976.69</v>
      </c>
      <c r="M111" s="372"/>
      <c r="N111" s="373"/>
      <c r="O111" s="345"/>
      <c r="P111" s="345"/>
      <c r="Q111" s="347">
        <f t="shared" si="5"/>
        <v>0</v>
      </c>
      <c r="R111" s="279"/>
      <c r="S111" s="279"/>
      <c r="T111" s="279"/>
      <c r="U111" s="279"/>
      <c r="V111" s="279"/>
      <c r="W111" s="279"/>
      <c r="X111" s="279"/>
      <c r="Y111" s="279"/>
    </row>
    <row r="112" s="104" customFormat="1" ht="24" customHeight="1" spans="1:25">
      <c r="A112" s="362"/>
      <c r="B112" s="363"/>
      <c r="C112" s="364"/>
      <c r="D112" s="365"/>
      <c r="E112" s="366" t="str">
        <f>IF(D112="","",VLOOKUP(D112,'[4]Account Code'!$A$3:$D$273,2,0))</f>
        <v/>
      </c>
      <c r="F112" s="367"/>
      <c r="G112" s="368"/>
      <c r="H112" s="368"/>
      <c r="I112" s="369">
        <f>IFERROR(VLOOKUP(O112,[4]CREDITORS!A:B,2,0),"")</f>
        <v>0</v>
      </c>
      <c r="J112" s="370"/>
      <c r="K112" s="370"/>
      <c r="L112" s="371">
        <f t="shared" si="4"/>
        <v>22220976.69</v>
      </c>
      <c r="M112" s="374"/>
      <c r="N112" s="373"/>
      <c r="O112" s="345"/>
      <c r="P112" s="345"/>
      <c r="Q112" s="347">
        <f t="shared" si="5"/>
        <v>0</v>
      </c>
      <c r="R112" s="279"/>
      <c r="S112" s="279"/>
      <c r="T112" s="279"/>
      <c r="U112" s="279"/>
      <c r="V112" s="279"/>
      <c r="W112" s="279"/>
      <c r="X112" s="279"/>
      <c r="Y112" s="279"/>
    </row>
    <row r="113" s="104" customFormat="1" ht="24" customHeight="1" spans="1:25">
      <c r="A113" s="362"/>
      <c r="B113" s="363"/>
      <c r="C113" s="364"/>
      <c r="D113" s="365"/>
      <c r="E113" s="366" t="str">
        <f>IF(D113="","",VLOOKUP(D113,'[4]Account Code'!$A$3:$D$273,2,0))</f>
        <v/>
      </c>
      <c r="F113" s="367"/>
      <c r="G113" s="368"/>
      <c r="H113" s="368"/>
      <c r="I113" s="369">
        <f>IFERROR(VLOOKUP(O113,[4]CREDITORS!A:B,2,0),"")</f>
        <v>0</v>
      </c>
      <c r="J113" s="370"/>
      <c r="K113" s="370"/>
      <c r="L113" s="371">
        <f t="shared" si="4"/>
        <v>22220976.69</v>
      </c>
      <c r="M113" s="372"/>
      <c r="N113" s="373"/>
      <c r="O113" s="345"/>
      <c r="P113" s="345"/>
      <c r="Q113" s="347">
        <f t="shared" si="5"/>
        <v>0</v>
      </c>
      <c r="R113" s="279"/>
      <c r="S113" s="279"/>
      <c r="T113" s="279"/>
      <c r="U113" s="279"/>
      <c r="V113" s="279"/>
      <c r="W113" s="279"/>
      <c r="X113" s="279"/>
      <c r="Y113" s="279"/>
    </row>
    <row r="114" s="104" customFormat="1" ht="24" customHeight="1" spans="1:25">
      <c r="A114" s="362"/>
      <c r="B114" s="363"/>
      <c r="C114" s="364"/>
      <c r="D114" s="365"/>
      <c r="E114" s="366" t="str">
        <f>IF(D114="","",VLOOKUP(D114,'[4]Account Code'!$A$3:$D$273,2,0))</f>
        <v/>
      </c>
      <c r="F114" s="367"/>
      <c r="G114" s="368"/>
      <c r="H114" s="368"/>
      <c r="I114" s="369">
        <f>IFERROR(VLOOKUP(O114,[4]CREDITORS!A:B,2,0),"")</f>
        <v>0</v>
      </c>
      <c r="J114" s="370"/>
      <c r="K114" s="370"/>
      <c r="L114" s="371">
        <f t="shared" si="4"/>
        <v>22220976.69</v>
      </c>
      <c r="M114" s="372"/>
      <c r="N114" s="373"/>
      <c r="O114" s="345"/>
      <c r="P114" s="345"/>
      <c r="Q114" s="347">
        <f t="shared" si="5"/>
        <v>0</v>
      </c>
      <c r="R114" s="279"/>
      <c r="S114" s="279"/>
      <c r="T114" s="279"/>
      <c r="U114" s="279"/>
      <c r="V114" s="279"/>
      <c r="W114" s="279"/>
      <c r="X114" s="279"/>
      <c r="Y114" s="279"/>
    </row>
    <row r="115" s="104" customFormat="1" ht="24" customHeight="1" spans="1:25">
      <c r="A115" s="362"/>
      <c r="B115" s="363"/>
      <c r="C115" s="364"/>
      <c r="D115" s="365"/>
      <c r="E115" s="366" t="str">
        <f>IF(D115="","",VLOOKUP(D115,'[4]Account Code'!$A$3:$D$273,2,0))</f>
        <v/>
      </c>
      <c r="F115" s="367"/>
      <c r="G115" s="368"/>
      <c r="H115" s="368"/>
      <c r="I115" s="369">
        <f>IFERROR(VLOOKUP(O115,[4]CREDITORS!A:B,2,0),"")</f>
        <v>0</v>
      </c>
      <c r="J115" s="370"/>
      <c r="K115" s="370"/>
      <c r="L115" s="371">
        <f t="shared" si="4"/>
        <v>22220976.69</v>
      </c>
      <c r="M115" s="372"/>
      <c r="N115" s="373"/>
      <c r="O115" s="345"/>
      <c r="P115" s="345"/>
      <c r="Q115" s="347">
        <f t="shared" si="5"/>
        <v>0</v>
      </c>
      <c r="R115" s="279"/>
      <c r="S115" s="279"/>
      <c r="T115" s="279"/>
      <c r="U115" s="279"/>
      <c r="V115" s="279"/>
      <c r="W115" s="279"/>
      <c r="X115" s="279"/>
      <c r="Y115" s="279"/>
    </row>
    <row r="116" s="104" customFormat="1" ht="24" customHeight="1" spans="1:25">
      <c r="A116" s="362"/>
      <c r="B116" s="363"/>
      <c r="C116" s="364"/>
      <c r="D116" s="365"/>
      <c r="E116" s="366" t="str">
        <f>IF(D116="","",VLOOKUP(D116,'[4]Account Code'!$A$3:$D$273,2,0))</f>
        <v/>
      </c>
      <c r="F116" s="367"/>
      <c r="G116" s="368"/>
      <c r="H116" s="368"/>
      <c r="I116" s="369">
        <f>IFERROR(VLOOKUP(O116,[4]CREDITORS!A:B,2,0),"")</f>
        <v>0</v>
      </c>
      <c r="J116" s="370"/>
      <c r="K116" s="370"/>
      <c r="L116" s="371">
        <f t="shared" si="4"/>
        <v>22220976.69</v>
      </c>
      <c r="M116" s="372"/>
      <c r="N116" s="373"/>
      <c r="O116" s="345"/>
      <c r="P116" s="345"/>
      <c r="Q116" s="347">
        <f t="shared" si="5"/>
        <v>0</v>
      </c>
      <c r="R116" s="279"/>
      <c r="S116" s="279"/>
      <c r="T116" s="279"/>
      <c r="U116" s="279"/>
      <c r="V116" s="279"/>
      <c r="W116" s="279"/>
      <c r="X116" s="279"/>
      <c r="Y116" s="279"/>
    </row>
    <row r="117" s="104" customFormat="1" ht="24" customHeight="1" spans="1:25">
      <c r="A117" s="362"/>
      <c r="B117" s="363"/>
      <c r="C117" s="364"/>
      <c r="D117" s="365"/>
      <c r="E117" s="366" t="str">
        <f>IF(D117="","",VLOOKUP(D117,'[4]Account Code'!$A$3:$D$273,2,0))</f>
        <v/>
      </c>
      <c r="F117" s="367"/>
      <c r="G117" s="368"/>
      <c r="H117" s="368"/>
      <c r="I117" s="369">
        <f>IFERROR(VLOOKUP(O117,[4]CREDITORS!A:B,2,0),"")</f>
        <v>0</v>
      </c>
      <c r="J117" s="370"/>
      <c r="K117" s="370"/>
      <c r="L117" s="371">
        <f t="shared" si="4"/>
        <v>22220976.69</v>
      </c>
      <c r="M117" s="372"/>
      <c r="N117" s="373"/>
      <c r="O117" s="345"/>
      <c r="P117" s="345"/>
      <c r="Q117" s="347">
        <f t="shared" si="5"/>
        <v>0</v>
      </c>
      <c r="R117" s="279"/>
      <c r="S117" s="279"/>
      <c r="T117" s="279"/>
      <c r="U117" s="279"/>
      <c r="V117" s="279"/>
      <c r="W117" s="279"/>
      <c r="X117" s="279"/>
      <c r="Y117" s="279"/>
    </row>
    <row r="118" s="104" customFormat="1" ht="24" customHeight="1" spans="1:25">
      <c r="A118" s="362"/>
      <c r="B118" s="363"/>
      <c r="C118" s="364"/>
      <c r="D118" s="365"/>
      <c r="E118" s="366" t="str">
        <f>IF(D118="","",VLOOKUP(D118,'[4]Account Code'!$A$3:$D$273,2,0))</f>
        <v/>
      </c>
      <c r="F118" s="367"/>
      <c r="G118" s="368"/>
      <c r="H118" s="368"/>
      <c r="I118" s="369">
        <f>IFERROR(VLOOKUP(O118,[4]CREDITORS!A:B,2,0),"")</f>
        <v>0</v>
      </c>
      <c r="J118" s="370"/>
      <c r="K118" s="370"/>
      <c r="L118" s="371">
        <f t="shared" si="4"/>
        <v>22220976.69</v>
      </c>
      <c r="M118" s="372"/>
      <c r="N118" s="373"/>
      <c r="O118" s="345"/>
      <c r="P118" s="345"/>
      <c r="Q118" s="347">
        <f t="shared" si="5"/>
        <v>0</v>
      </c>
      <c r="R118" s="279"/>
      <c r="S118" s="279"/>
      <c r="T118" s="279"/>
      <c r="U118" s="279"/>
      <c r="V118" s="279"/>
      <c r="W118" s="279"/>
      <c r="X118" s="279"/>
      <c r="Y118" s="279"/>
    </row>
    <row r="119" s="104" customFormat="1" ht="24" customHeight="1" spans="1:25">
      <c r="A119" s="362"/>
      <c r="B119" s="363"/>
      <c r="C119" s="364"/>
      <c r="D119" s="365"/>
      <c r="E119" s="366" t="str">
        <f>IF(D119="","",VLOOKUP(D119,'[4]Account Code'!$A$3:$D$273,2,0))</f>
        <v/>
      </c>
      <c r="F119" s="367"/>
      <c r="G119" s="368"/>
      <c r="H119" s="368"/>
      <c r="I119" s="369">
        <f>IFERROR(VLOOKUP(O119,[4]CREDITORS!A:B,2,0),"")</f>
        <v>0</v>
      </c>
      <c r="J119" s="370"/>
      <c r="K119" s="370"/>
      <c r="L119" s="371">
        <f t="shared" si="4"/>
        <v>22220976.69</v>
      </c>
      <c r="M119" s="372"/>
      <c r="N119" s="373"/>
      <c r="O119" s="345"/>
      <c r="P119" s="345"/>
      <c r="Q119" s="347">
        <f t="shared" si="5"/>
        <v>0</v>
      </c>
      <c r="R119" s="279"/>
      <c r="S119" s="279"/>
      <c r="T119" s="279"/>
      <c r="U119" s="279"/>
      <c r="V119" s="279"/>
      <c r="W119" s="279"/>
      <c r="X119" s="279"/>
      <c r="Y119" s="279"/>
    </row>
    <row r="120" s="104" customFormat="1" ht="24" customHeight="1" spans="1:25">
      <c r="A120" s="362"/>
      <c r="B120" s="363"/>
      <c r="C120" s="364"/>
      <c r="D120" s="365"/>
      <c r="E120" s="366" t="str">
        <f>IF(D120="","",VLOOKUP(D120,'[4]Account Code'!$A$3:$D$273,2,0))</f>
        <v/>
      </c>
      <c r="F120" s="367"/>
      <c r="G120" s="368"/>
      <c r="H120" s="368"/>
      <c r="I120" s="369">
        <f>IFERROR(VLOOKUP(O120,[4]CREDITORS!A:B,2,0),"")</f>
        <v>0</v>
      </c>
      <c r="J120" s="370"/>
      <c r="K120" s="370"/>
      <c r="L120" s="371">
        <f t="shared" si="4"/>
        <v>22220976.69</v>
      </c>
      <c r="M120" s="372"/>
      <c r="N120" s="373"/>
      <c r="O120" s="345"/>
      <c r="P120" s="345"/>
      <c r="Q120" s="347">
        <f t="shared" si="5"/>
        <v>0</v>
      </c>
      <c r="R120" s="279"/>
      <c r="S120" s="279"/>
      <c r="T120" s="279"/>
      <c r="U120" s="279"/>
      <c r="V120" s="279"/>
      <c r="W120" s="279"/>
      <c r="X120" s="279"/>
      <c r="Y120" s="279"/>
    </row>
    <row r="121" s="104" customFormat="1" ht="24" customHeight="1" spans="1:25">
      <c r="A121" s="362"/>
      <c r="B121" s="363"/>
      <c r="C121" s="364"/>
      <c r="D121" s="365"/>
      <c r="E121" s="366" t="str">
        <f>IF(D121="","",VLOOKUP(D121,'[4]Account Code'!$A$3:$D$273,2,0))</f>
        <v/>
      </c>
      <c r="F121" s="367"/>
      <c r="G121" s="368"/>
      <c r="H121" s="368"/>
      <c r="I121" s="369">
        <f>IFERROR(VLOOKUP(O121,[4]CREDITORS!A:B,2,0),"")</f>
        <v>0</v>
      </c>
      <c r="J121" s="370"/>
      <c r="K121" s="370"/>
      <c r="L121" s="371">
        <f t="shared" si="4"/>
        <v>22220976.69</v>
      </c>
      <c r="M121" s="372"/>
      <c r="N121" s="373"/>
      <c r="O121" s="345"/>
      <c r="P121" s="345"/>
      <c r="Q121" s="347">
        <f t="shared" si="5"/>
        <v>0</v>
      </c>
      <c r="R121" s="279"/>
      <c r="S121" s="279"/>
      <c r="T121" s="279"/>
      <c r="U121" s="279"/>
      <c r="V121" s="279"/>
      <c r="W121" s="279"/>
      <c r="X121" s="279"/>
      <c r="Y121" s="279"/>
    </row>
    <row r="122" s="104" customFormat="1" ht="24" customHeight="1" spans="1:25">
      <c r="A122" s="362"/>
      <c r="B122" s="363"/>
      <c r="C122" s="364"/>
      <c r="D122" s="365"/>
      <c r="E122" s="366" t="str">
        <f>IF(D122="","",VLOOKUP(D122,'[4]Account Code'!$A$3:$D$273,2,0))</f>
        <v/>
      </c>
      <c r="F122" s="367"/>
      <c r="G122" s="368"/>
      <c r="H122" s="368"/>
      <c r="I122" s="369">
        <f>IFERROR(VLOOKUP(O122,[4]CREDITORS!A:B,2,0),"")</f>
        <v>0</v>
      </c>
      <c r="J122" s="370"/>
      <c r="K122" s="370"/>
      <c r="L122" s="371">
        <f t="shared" si="4"/>
        <v>22220976.69</v>
      </c>
      <c r="M122" s="372"/>
      <c r="N122" s="373"/>
      <c r="O122" s="345"/>
      <c r="P122" s="345"/>
      <c r="Q122" s="347">
        <f t="shared" si="5"/>
        <v>0</v>
      </c>
      <c r="R122" s="279"/>
      <c r="S122" s="279"/>
      <c r="T122" s="279"/>
      <c r="U122" s="279"/>
      <c r="V122" s="279"/>
      <c r="W122" s="279"/>
      <c r="X122" s="279"/>
      <c r="Y122" s="279"/>
    </row>
    <row r="123" s="104" customFormat="1" ht="24" customHeight="1" spans="1:25">
      <c r="A123" s="362"/>
      <c r="B123" s="363"/>
      <c r="C123" s="364"/>
      <c r="D123" s="365"/>
      <c r="E123" s="366" t="str">
        <f>IF(D123="","",VLOOKUP(D123,'[4]Account Code'!$A$3:$D$273,2,0))</f>
        <v/>
      </c>
      <c r="F123" s="367"/>
      <c r="G123" s="368"/>
      <c r="H123" s="368"/>
      <c r="I123" s="369">
        <f>IFERROR(VLOOKUP(O123,[4]CREDITORS!A:B,2,0),"")</f>
        <v>0</v>
      </c>
      <c r="J123" s="370"/>
      <c r="K123" s="370"/>
      <c r="L123" s="371">
        <f t="shared" si="4"/>
        <v>22220976.69</v>
      </c>
      <c r="M123" s="372"/>
      <c r="N123" s="373"/>
      <c r="O123" s="345"/>
      <c r="P123" s="345"/>
      <c r="Q123" s="347">
        <f t="shared" si="5"/>
        <v>0</v>
      </c>
      <c r="R123" s="279"/>
      <c r="S123" s="279"/>
      <c r="T123" s="279"/>
      <c r="U123" s="279"/>
      <c r="V123" s="279"/>
      <c r="W123" s="279"/>
      <c r="X123" s="279"/>
      <c r="Y123" s="279"/>
    </row>
    <row r="124" s="104" customFormat="1" ht="24" customHeight="1" spans="1:25">
      <c r="A124" s="362"/>
      <c r="B124" s="363"/>
      <c r="C124" s="364"/>
      <c r="D124" s="365"/>
      <c r="E124" s="366" t="str">
        <f>IF(D124="","",VLOOKUP(D124,'[4]Account Code'!$A$3:$D$273,2,0))</f>
        <v/>
      </c>
      <c r="F124" s="367"/>
      <c r="G124" s="368"/>
      <c r="H124" s="368"/>
      <c r="I124" s="369">
        <f>IFERROR(VLOOKUP(O124,[4]CREDITORS!A:B,2,0),"")</f>
        <v>0</v>
      </c>
      <c r="J124" s="370"/>
      <c r="K124" s="370"/>
      <c r="L124" s="371">
        <f t="shared" si="4"/>
        <v>22220976.69</v>
      </c>
      <c r="M124" s="372"/>
      <c r="N124" s="373"/>
      <c r="O124" s="345"/>
      <c r="P124" s="345"/>
      <c r="Q124" s="347">
        <f t="shared" si="5"/>
        <v>0</v>
      </c>
      <c r="R124" s="279"/>
      <c r="S124" s="279"/>
      <c r="T124" s="279"/>
      <c r="U124" s="279"/>
      <c r="V124" s="279"/>
      <c r="W124" s="279"/>
      <c r="X124" s="279"/>
      <c r="Y124" s="279"/>
    </row>
    <row r="125" s="104" customFormat="1" ht="24" customHeight="1" spans="1:25">
      <c r="A125" s="362"/>
      <c r="B125" s="363"/>
      <c r="C125" s="364"/>
      <c r="D125" s="365"/>
      <c r="E125" s="366" t="str">
        <f>IF(D125="","",VLOOKUP(D125,'[4]Account Code'!$A$3:$D$273,2,0))</f>
        <v/>
      </c>
      <c r="F125" s="367"/>
      <c r="G125" s="368"/>
      <c r="H125" s="368"/>
      <c r="I125" s="369">
        <f>IFERROR(VLOOKUP(O125,[4]CREDITORS!A:B,2,0),"")</f>
        <v>0</v>
      </c>
      <c r="J125" s="370"/>
      <c r="K125" s="370"/>
      <c r="L125" s="371">
        <f t="shared" si="4"/>
        <v>22220976.69</v>
      </c>
      <c r="M125" s="372"/>
      <c r="N125" s="373"/>
      <c r="O125" s="345"/>
      <c r="P125" s="279"/>
      <c r="Q125" s="347">
        <f t="shared" si="5"/>
        <v>0</v>
      </c>
      <c r="R125" s="279"/>
      <c r="S125" s="279"/>
      <c r="T125" s="279"/>
      <c r="U125" s="279"/>
      <c r="V125" s="279"/>
      <c r="W125" s="279"/>
      <c r="X125" s="279"/>
      <c r="Y125" s="279"/>
    </row>
    <row r="126" s="104" customFormat="1" ht="24" customHeight="1" spans="1:25">
      <c r="A126" s="362"/>
      <c r="B126" s="363"/>
      <c r="C126" s="364"/>
      <c r="D126" s="365"/>
      <c r="E126" s="366" t="str">
        <f>IF(D126="","",VLOOKUP(D126,'[4]Account Code'!$A$3:$D$273,2,0))</f>
        <v/>
      </c>
      <c r="F126" s="367"/>
      <c r="G126" s="368"/>
      <c r="H126" s="368"/>
      <c r="I126" s="369">
        <f>IFERROR(VLOOKUP(O126,[4]CREDITORS!A:B,2,0),"")</f>
        <v>0</v>
      </c>
      <c r="J126" s="370"/>
      <c r="K126" s="370"/>
      <c r="L126" s="371">
        <f t="shared" si="4"/>
        <v>22220976.69</v>
      </c>
      <c r="M126" s="372"/>
      <c r="N126" s="373"/>
      <c r="O126" s="345"/>
      <c r="P126" s="279"/>
      <c r="Q126" s="347">
        <f t="shared" si="5"/>
        <v>0</v>
      </c>
      <c r="R126" s="279"/>
      <c r="S126" s="279"/>
      <c r="T126" s="279"/>
      <c r="U126" s="279"/>
      <c r="V126" s="279"/>
      <c r="W126" s="279"/>
      <c r="X126" s="279"/>
      <c r="Y126" s="279"/>
    </row>
    <row r="127" s="104" customFormat="1" ht="24" customHeight="1" spans="1:25">
      <c r="A127" s="362"/>
      <c r="B127" s="363"/>
      <c r="C127" s="364"/>
      <c r="D127" s="365"/>
      <c r="E127" s="366" t="str">
        <f>IF(D127="","",VLOOKUP(D127,'[4]Account Code'!$A$3:$D$273,2,0))</f>
        <v/>
      </c>
      <c r="F127" s="367"/>
      <c r="G127" s="368"/>
      <c r="H127" s="368"/>
      <c r="I127" s="369">
        <f>IFERROR(VLOOKUP(O127,[4]CREDITORS!A:B,2,0),"")</f>
        <v>0</v>
      </c>
      <c r="J127" s="370"/>
      <c r="K127" s="370"/>
      <c r="L127" s="371">
        <f t="shared" si="4"/>
        <v>22220976.69</v>
      </c>
      <c r="M127" s="372"/>
      <c r="N127" s="373"/>
      <c r="O127" s="345"/>
      <c r="P127" s="279"/>
      <c r="Q127" s="347">
        <f t="shared" si="5"/>
        <v>0</v>
      </c>
      <c r="R127" s="279"/>
      <c r="S127" s="279"/>
      <c r="T127" s="279"/>
      <c r="U127" s="279"/>
      <c r="V127" s="279"/>
      <c r="W127" s="279"/>
      <c r="X127" s="279"/>
      <c r="Y127" s="279"/>
    </row>
    <row r="128" s="104" customFormat="1" ht="24" customHeight="1" spans="1:25">
      <c r="A128" s="362"/>
      <c r="B128" s="363"/>
      <c r="C128" s="364"/>
      <c r="D128" s="365"/>
      <c r="E128" s="366" t="str">
        <f>IF(D128="","",VLOOKUP(D128,'[4]Account Code'!$A$3:$D$273,2,0))</f>
        <v/>
      </c>
      <c r="F128" s="367"/>
      <c r="G128" s="368"/>
      <c r="H128" s="368"/>
      <c r="I128" s="369">
        <f>IFERROR(VLOOKUP(O128,[4]CREDITORS!A:B,2,0),"")</f>
        <v>0</v>
      </c>
      <c r="J128" s="370"/>
      <c r="K128" s="370"/>
      <c r="L128" s="371">
        <f t="shared" si="4"/>
        <v>22220976.69</v>
      </c>
      <c r="M128" s="372"/>
      <c r="N128" s="373"/>
      <c r="O128" s="345"/>
      <c r="P128" s="279"/>
      <c r="Q128" s="347">
        <f t="shared" si="5"/>
        <v>0</v>
      </c>
      <c r="R128" s="279"/>
      <c r="S128" s="279"/>
      <c r="T128" s="279"/>
      <c r="U128" s="279"/>
      <c r="V128" s="279"/>
      <c r="W128" s="279"/>
      <c r="X128" s="279"/>
      <c r="Y128" s="279"/>
    </row>
    <row r="129" s="104" customFormat="1" ht="24" customHeight="1" spans="1:25">
      <c r="A129" s="362"/>
      <c r="B129" s="363"/>
      <c r="C129" s="364"/>
      <c r="D129" s="365"/>
      <c r="E129" s="366" t="str">
        <f>IF(D129="","",VLOOKUP(D129,'[4]Account Code'!$A$3:$D$273,2,0))</f>
        <v/>
      </c>
      <c r="F129" s="367"/>
      <c r="G129" s="368"/>
      <c r="H129" s="368"/>
      <c r="I129" s="369">
        <f>IFERROR(VLOOKUP(O129,[4]CREDITORS!A:B,2,0),"")</f>
        <v>0</v>
      </c>
      <c r="J129" s="370"/>
      <c r="K129" s="370"/>
      <c r="L129" s="371">
        <f t="shared" si="4"/>
        <v>22220976.69</v>
      </c>
      <c r="M129" s="372"/>
      <c r="N129" s="373"/>
      <c r="O129" s="345"/>
      <c r="P129" s="279"/>
      <c r="Q129" s="347">
        <f t="shared" si="5"/>
        <v>0</v>
      </c>
      <c r="R129" s="279"/>
      <c r="S129" s="279"/>
      <c r="T129" s="279"/>
      <c r="U129" s="279"/>
      <c r="V129" s="279"/>
      <c r="W129" s="279"/>
      <c r="X129" s="279"/>
      <c r="Y129" s="279"/>
    </row>
    <row r="130" s="104" customFormat="1" ht="24" customHeight="1" spans="1:25">
      <c r="A130" s="362"/>
      <c r="B130" s="363"/>
      <c r="C130" s="364"/>
      <c r="D130" s="365"/>
      <c r="E130" s="366" t="str">
        <f>IF(D130="","",VLOOKUP(D130,'[4]Account Code'!$A$3:$D$273,2,0))</f>
        <v/>
      </c>
      <c r="F130" s="367"/>
      <c r="G130" s="368"/>
      <c r="H130" s="368"/>
      <c r="I130" s="369">
        <f>IFERROR(VLOOKUP(O130,[4]CREDITORS!A:B,2,0),"")</f>
        <v>0</v>
      </c>
      <c r="J130" s="370"/>
      <c r="K130" s="370"/>
      <c r="L130" s="371">
        <f t="shared" si="4"/>
        <v>22220976.69</v>
      </c>
      <c r="M130" s="372"/>
      <c r="N130" s="373"/>
      <c r="O130" s="345"/>
      <c r="P130" s="279"/>
      <c r="Q130" s="347">
        <f t="shared" si="5"/>
        <v>0</v>
      </c>
      <c r="R130" s="279"/>
      <c r="S130" s="279"/>
      <c r="T130" s="279"/>
      <c r="U130" s="279"/>
      <c r="V130" s="279"/>
      <c r="W130" s="279"/>
      <c r="X130" s="279"/>
      <c r="Y130" s="279"/>
    </row>
    <row r="131" s="104" customFormat="1" ht="24" customHeight="1" spans="1:25">
      <c r="A131" s="362"/>
      <c r="B131" s="363"/>
      <c r="C131" s="364"/>
      <c r="D131" s="365"/>
      <c r="E131" s="366" t="str">
        <f>IF(D131="","",VLOOKUP(D131,'[4]Account Code'!$A$3:$D$273,2,0))</f>
        <v/>
      </c>
      <c r="F131" s="367"/>
      <c r="G131" s="368"/>
      <c r="H131" s="368"/>
      <c r="I131" s="369">
        <f>IFERROR(VLOOKUP(O131,[4]CREDITORS!A:B,2,0),"")</f>
        <v>0</v>
      </c>
      <c r="J131" s="370"/>
      <c r="K131" s="370"/>
      <c r="L131" s="371">
        <f t="shared" si="4"/>
        <v>22220976.69</v>
      </c>
      <c r="M131" s="372"/>
      <c r="N131" s="373"/>
      <c r="O131" s="345"/>
      <c r="P131" s="279"/>
      <c r="Q131" s="347">
        <f t="shared" si="5"/>
        <v>0</v>
      </c>
      <c r="R131" s="279"/>
      <c r="S131" s="279"/>
      <c r="T131" s="279"/>
      <c r="U131" s="279"/>
      <c r="V131" s="279"/>
      <c r="W131" s="279"/>
      <c r="X131" s="279"/>
      <c r="Y131" s="279"/>
    </row>
    <row r="132" s="104" customFormat="1" ht="24" customHeight="1" spans="1:25">
      <c r="A132" s="362"/>
      <c r="B132" s="363"/>
      <c r="C132" s="364"/>
      <c r="D132" s="365"/>
      <c r="E132" s="366" t="str">
        <f>IF(D132="","",VLOOKUP(D132,'[4]Account Code'!$A$3:$D$273,2,0))</f>
        <v/>
      </c>
      <c r="F132" s="367"/>
      <c r="G132" s="368"/>
      <c r="H132" s="368"/>
      <c r="I132" s="369">
        <f>IFERROR(VLOOKUP(O132,[4]CREDITORS!A:B,2,0),"")</f>
        <v>0</v>
      </c>
      <c r="J132" s="370"/>
      <c r="K132" s="370"/>
      <c r="L132" s="371">
        <f t="shared" si="4"/>
        <v>22220976.69</v>
      </c>
      <c r="M132" s="372"/>
      <c r="N132" s="373"/>
      <c r="O132" s="345"/>
      <c r="P132" s="279"/>
      <c r="Q132" s="347">
        <f t="shared" si="5"/>
        <v>0</v>
      </c>
      <c r="R132" s="279"/>
      <c r="S132" s="279"/>
      <c r="T132" s="279"/>
      <c r="U132" s="279"/>
      <c r="V132" s="279"/>
      <c r="W132" s="279"/>
      <c r="X132" s="279"/>
      <c r="Y132" s="279"/>
    </row>
    <row r="133" s="104" customFormat="1" ht="24" customHeight="1" spans="1:25">
      <c r="A133" s="362"/>
      <c r="B133" s="363"/>
      <c r="C133" s="364"/>
      <c r="D133" s="365"/>
      <c r="E133" s="366" t="str">
        <f>IF(D133="","",VLOOKUP(D133,'[4]Account Code'!$A$3:$D$273,2,0))</f>
        <v/>
      </c>
      <c r="F133" s="367"/>
      <c r="G133" s="368"/>
      <c r="H133" s="368"/>
      <c r="I133" s="369">
        <f>IFERROR(VLOOKUP(O133,[4]CREDITORS!A:B,2,0),"")</f>
        <v>0</v>
      </c>
      <c r="J133" s="370"/>
      <c r="K133" s="370"/>
      <c r="L133" s="371">
        <f t="shared" si="4"/>
        <v>22220976.69</v>
      </c>
      <c r="M133" s="372"/>
      <c r="N133" s="373"/>
      <c r="O133" s="345"/>
      <c r="P133" s="279"/>
      <c r="Q133" s="347">
        <f t="shared" si="5"/>
        <v>0</v>
      </c>
      <c r="R133" s="279"/>
      <c r="S133" s="279"/>
      <c r="T133" s="279"/>
      <c r="U133" s="279"/>
      <c r="V133" s="279"/>
      <c r="W133" s="279"/>
      <c r="X133" s="279"/>
      <c r="Y133" s="279"/>
    </row>
    <row r="134" s="104" customFormat="1" ht="24" customHeight="1" spans="1:25">
      <c r="A134" s="362"/>
      <c r="B134" s="363"/>
      <c r="C134" s="364"/>
      <c r="D134" s="365"/>
      <c r="E134" s="366" t="str">
        <f>IF(D134="","",VLOOKUP(D134,'[4]Account Code'!$A$3:$D$273,2,0))</f>
        <v/>
      </c>
      <c r="F134" s="367"/>
      <c r="G134" s="368"/>
      <c r="H134" s="368"/>
      <c r="I134" s="369">
        <f>IFERROR(VLOOKUP(O134,[4]CREDITORS!A:B,2,0),"")</f>
        <v>0</v>
      </c>
      <c r="J134" s="370"/>
      <c r="K134" s="370"/>
      <c r="L134" s="371">
        <f t="shared" si="4"/>
        <v>22220976.69</v>
      </c>
      <c r="M134" s="372"/>
      <c r="N134" s="373"/>
      <c r="O134" s="345"/>
      <c r="P134" s="279"/>
      <c r="Q134" s="347">
        <f t="shared" si="5"/>
        <v>0</v>
      </c>
      <c r="R134" s="279"/>
      <c r="S134" s="279"/>
      <c r="T134" s="279"/>
      <c r="U134" s="279"/>
      <c r="V134" s="279"/>
      <c r="W134" s="279"/>
      <c r="X134" s="279"/>
      <c r="Y134" s="279"/>
    </row>
    <row r="135" s="104" customFormat="1" ht="24" customHeight="1" spans="1:25">
      <c r="A135" s="362"/>
      <c r="B135" s="363"/>
      <c r="C135" s="364"/>
      <c r="D135" s="365"/>
      <c r="E135" s="366" t="str">
        <f>IF(D135="","",VLOOKUP(D135,'[4]Account Code'!$A$3:$D$273,2,0))</f>
        <v/>
      </c>
      <c r="F135" s="367"/>
      <c r="G135" s="368"/>
      <c r="H135" s="368"/>
      <c r="I135" s="369">
        <f>IFERROR(VLOOKUP(O135,[4]CREDITORS!A:B,2,0),"")</f>
        <v>0</v>
      </c>
      <c r="J135" s="370"/>
      <c r="K135" s="370"/>
      <c r="L135" s="371">
        <f t="shared" si="4"/>
        <v>22220976.69</v>
      </c>
      <c r="M135" s="372"/>
      <c r="N135" s="373"/>
      <c r="O135" s="345"/>
      <c r="P135" s="279"/>
      <c r="Q135" s="347">
        <f t="shared" si="5"/>
        <v>0</v>
      </c>
      <c r="R135" s="279"/>
      <c r="S135" s="279"/>
      <c r="T135" s="279"/>
      <c r="U135" s="279"/>
      <c r="V135" s="279"/>
      <c r="W135" s="279"/>
      <c r="X135" s="279"/>
      <c r="Y135" s="279"/>
    </row>
    <row r="136" s="104" customFormat="1" ht="24" customHeight="1" spans="1:25">
      <c r="A136" s="362"/>
      <c r="B136" s="363"/>
      <c r="C136" s="364"/>
      <c r="D136" s="365"/>
      <c r="E136" s="366" t="str">
        <f>IF(D136="","",VLOOKUP(D136,'[4]Account Code'!$A$3:$D$273,2,0))</f>
        <v/>
      </c>
      <c r="F136" s="367"/>
      <c r="G136" s="368"/>
      <c r="H136" s="368"/>
      <c r="I136" s="369">
        <f>IFERROR(VLOOKUP(O136,[4]CREDITORS!A:B,2,0),"")</f>
        <v>0</v>
      </c>
      <c r="J136" s="370"/>
      <c r="K136" s="370"/>
      <c r="L136" s="371">
        <f t="shared" si="4"/>
        <v>22220976.69</v>
      </c>
      <c r="M136" s="372"/>
      <c r="N136" s="373"/>
      <c r="O136" s="345"/>
      <c r="P136" s="279"/>
      <c r="Q136" s="347">
        <f t="shared" si="5"/>
        <v>0</v>
      </c>
      <c r="R136" s="279"/>
      <c r="S136" s="279"/>
      <c r="T136" s="279"/>
      <c r="U136" s="279"/>
      <c r="V136" s="279"/>
      <c r="W136" s="279"/>
      <c r="X136" s="279"/>
      <c r="Y136" s="279"/>
    </row>
    <row r="137" s="104" customFormat="1" ht="24" customHeight="1" spans="1:25">
      <c r="A137" s="362"/>
      <c r="B137" s="363"/>
      <c r="C137" s="364"/>
      <c r="D137" s="365"/>
      <c r="E137" s="366" t="str">
        <f>IF(D137="","",VLOOKUP(D137,'[4]Account Code'!$A$3:$D$273,2,0))</f>
        <v/>
      </c>
      <c r="F137" s="367"/>
      <c r="G137" s="368"/>
      <c r="H137" s="368"/>
      <c r="I137" s="369">
        <f>IFERROR(VLOOKUP(O137,[4]CREDITORS!A:B,2,0),"")</f>
        <v>0</v>
      </c>
      <c r="J137" s="370"/>
      <c r="K137" s="370"/>
      <c r="L137" s="371">
        <f t="shared" si="4"/>
        <v>22220976.69</v>
      </c>
      <c r="M137" s="372"/>
      <c r="N137" s="373"/>
      <c r="O137" s="345"/>
      <c r="P137" s="279"/>
      <c r="Q137" s="347">
        <f t="shared" si="5"/>
        <v>0</v>
      </c>
      <c r="R137" s="279"/>
      <c r="S137" s="279"/>
      <c r="T137" s="279"/>
      <c r="U137" s="279"/>
      <c r="V137" s="279"/>
      <c r="W137" s="279"/>
      <c r="X137" s="279"/>
      <c r="Y137" s="279"/>
    </row>
    <row r="138" s="104" customFormat="1" ht="24" customHeight="1" spans="1:25">
      <c r="A138" s="362"/>
      <c r="B138" s="363"/>
      <c r="C138" s="364"/>
      <c r="D138" s="365"/>
      <c r="E138" s="366" t="str">
        <f>IF(D138="","",VLOOKUP(D138,'[4]Account Code'!$A$3:$D$273,2,0))</f>
        <v/>
      </c>
      <c r="F138" s="367"/>
      <c r="G138" s="368"/>
      <c r="H138" s="368"/>
      <c r="I138" s="369">
        <f>IFERROR(VLOOKUP(O138,[4]CREDITORS!A:B,2,0),"")</f>
        <v>0</v>
      </c>
      <c r="J138" s="370"/>
      <c r="K138" s="370"/>
      <c r="L138" s="371">
        <f t="shared" si="4"/>
        <v>22220976.69</v>
      </c>
      <c r="M138" s="372"/>
      <c r="N138" s="373"/>
      <c r="O138" s="345"/>
      <c r="P138" s="279"/>
      <c r="Q138" s="347">
        <f t="shared" si="5"/>
        <v>0</v>
      </c>
      <c r="R138" s="279"/>
      <c r="S138" s="279"/>
      <c r="T138" s="279"/>
      <c r="U138" s="279"/>
      <c r="V138" s="279"/>
      <c r="W138" s="279"/>
      <c r="X138" s="279"/>
      <c r="Y138" s="279"/>
    </row>
    <row r="139" s="104" customFormat="1" ht="24" customHeight="1" spans="1:25">
      <c r="A139" s="362"/>
      <c r="B139" s="363"/>
      <c r="C139" s="364"/>
      <c r="D139" s="365"/>
      <c r="E139" s="366" t="str">
        <f>IF(D139="","",VLOOKUP(D139,'[4]Account Code'!$A$3:$D$273,2,0))</f>
        <v/>
      </c>
      <c r="F139" s="367"/>
      <c r="G139" s="368"/>
      <c r="H139" s="368"/>
      <c r="I139" s="369">
        <f>IFERROR(VLOOKUP(O139,[4]CREDITORS!A:B,2,0),"")</f>
        <v>0</v>
      </c>
      <c r="J139" s="370"/>
      <c r="K139" s="370"/>
      <c r="L139" s="371">
        <f t="shared" si="4"/>
        <v>22220976.69</v>
      </c>
      <c r="M139" s="372"/>
      <c r="N139" s="373"/>
      <c r="O139" s="345"/>
      <c r="P139" s="279"/>
      <c r="Q139" s="347">
        <f t="shared" si="5"/>
        <v>0</v>
      </c>
      <c r="R139" s="279"/>
      <c r="S139" s="279"/>
      <c r="T139" s="279"/>
      <c r="U139" s="279"/>
      <c r="V139" s="279"/>
      <c r="W139" s="279"/>
      <c r="X139" s="279"/>
      <c r="Y139" s="279"/>
    </row>
    <row r="140" s="104" customFormat="1" ht="24" customHeight="1" spans="1:25">
      <c r="A140" s="362"/>
      <c r="B140" s="363"/>
      <c r="C140" s="364"/>
      <c r="D140" s="365"/>
      <c r="E140" s="366" t="str">
        <f>IF(D140="","",VLOOKUP(D140,'[4]Account Code'!$A$3:$D$273,2,0))</f>
        <v/>
      </c>
      <c r="F140" s="367"/>
      <c r="G140" s="368"/>
      <c r="H140" s="368"/>
      <c r="I140" s="369">
        <f>IFERROR(VLOOKUP(O140,[4]CREDITORS!A:B,2,0),"")</f>
        <v>0</v>
      </c>
      <c r="J140" s="370"/>
      <c r="K140" s="370"/>
      <c r="L140" s="371">
        <f t="shared" ref="L140:L203" si="6">L139+J140-K140</f>
        <v>22220976.69</v>
      </c>
      <c r="M140" s="372"/>
      <c r="N140" s="373"/>
      <c r="O140" s="345"/>
      <c r="P140" s="279"/>
      <c r="Q140" s="347">
        <f t="shared" si="5"/>
        <v>0</v>
      </c>
      <c r="R140" s="279"/>
      <c r="S140" s="279"/>
      <c r="T140" s="279"/>
      <c r="U140" s="279"/>
      <c r="V140" s="279"/>
      <c r="W140" s="279"/>
      <c r="X140" s="279"/>
      <c r="Y140" s="279"/>
    </row>
    <row r="141" s="104" customFormat="1" ht="24" customHeight="1" spans="1:25">
      <c r="A141" s="362"/>
      <c r="B141" s="363"/>
      <c r="C141" s="364"/>
      <c r="D141" s="365"/>
      <c r="E141" s="366" t="str">
        <f>IF(D141="","",VLOOKUP(D141,'[4]Account Code'!$A$3:$D$273,2,0))</f>
        <v/>
      </c>
      <c r="F141" s="367"/>
      <c r="G141" s="368"/>
      <c r="H141" s="368"/>
      <c r="I141" s="369">
        <f>IFERROR(VLOOKUP(O141,[4]CREDITORS!A:B,2,0),"")</f>
        <v>0</v>
      </c>
      <c r="J141" s="370"/>
      <c r="K141" s="370"/>
      <c r="L141" s="371">
        <f t="shared" si="6"/>
        <v>22220976.69</v>
      </c>
      <c r="M141" s="372"/>
      <c r="N141" s="373"/>
      <c r="O141" s="345"/>
      <c r="P141" s="279"/>
      <c r="Q141" s="347">
        <f t="shared" si="5"/>
        <v>0</v>
      </c>
      <c r="R141" s="279"/>
      <c r="S141" s="279"/>
      <c r="T141" s="279"/>
      <c r="U141" s="279"/>
      <c r="V141" s="279"/>
      <c r="W141" s="279"/>
      <c r="X141" s="279"/>
      <c r="Y141" s="279"/>
    </row>
    <row r="142" s="104" customFormat="1" ht="24" customHeight="1" spans="1:25">
      <c r="A142" s="362"/>
      <c r="B142" s="363"/>
      <c r="C142" s="364"/>
      <c r="D142" s="365"/>
      <c r="E142" s="366" t="str">
        <f>IF(D142="","",VLOOKUP(D142,'[4]Account Code'!$A$3:$D$273,2,0))</f>
        <v/>
      </c>
      <c r="F142" s="367"/>
      <c r="G142" s="368"/>
      <c r="H142" s="368"/>
      <c r="I142" s="369">
        <f>IFERROR(VLOOKUP(O142,[4]CREDITORS!A:B,2,0),"")</f>
        <v>0</v>
      </c>
      <c r="J142" s="370"/>
      <c r="K142" s="370"/>
      <c r="L142" s="371">
        <f t="shared" si="6"/>
        <v>22220976.69</v>
      </c>
      <c r="M142" s="372"/>
      <c r="N142" s="373"/>
      <c r="O142" s="345"/>
      <c r="P142" s="279"/>
      <c r="Q142" s="347">
        <f t="shared" si="5"/>
        <v>0</v>
      </c>
      <c r="R142" s="279"/>
      <c r="S142" s="279"/>
      <c r="T142" s="279"/>
      <c r="U142" s="279"/>
      <c r="V142" s="279"/>
      <c r="W142" s="279"/>
      <c r="X142" s="279"/>
      <c r="Y142" s="279"/>
    </row>
    <row r="143" s="104" customFormat="1" ht="24" customHeight="1" spans="1:25">
      <c r="A143" s="362"/>
      <c r="B143" s="363"/>
      <c r="C143" s="364"/>
      <c r="D143" s="365"/>
      <c r="E143" s="366" t="str">
        <f>IF(D143="","",VLOOKUP(D143,'[4]Account Code'!$A$3:$D$273,2,0))</f>
        <v/>
      </c>
      <c r="F143" s="367"/>
      <c r="G143" s="368"/>
      <c r="H143" s="368"/>
      <c r="I143" s="369">
        <f>IFERROR(VLOOKUP(O143,[4]CREDITORS!A:B,2,0),"")</f>
        <v>0</v>
      </c>
      <c r="J143" s="370"/>
      <c r="K143" s="370"/>
      <c r="L143" s="371">
        <f t="shared" si="6"/>
        <v>22220976.69</v>
      </c>
      <c r="M143" s="372"/>
      <c r="N143" s="373"/>
      <c r="O143" s="345"/>
      <c r="P143" s="279"/>
      <c r="Q143" s="347">
        <f t="shared" si="5"/>
        <v>0</v>
      </c>
      <c r="R143" s="279"/>
      <c r="S143" s="279"/>
      <c r="T143" s="279"/>
      <c r="U143" s="279"/>
      <c r="V143" s="279"/>
      <c r="W143" s="279"/>
      <c r="X143" s="279"/>
      <c r="Y143" s="279"/>
    </row>
    <row r="144" s="104" customFormat="1" ht="24" customHeight="1" spans="1:25">
      <c r="A144" s="362"/>
      <c r="B144" s="363"/>
      <c r="C144" s="364"/>
      <c r="D144" s="365"/>
      <c r="E144" s="366" t="str">
        <f>IF(D144="","",VLOOKUP(D144,'[4]Account Code'!$A$3:$D$273,2,0))</f>
        <v/>
      </c>
      <c r="F144" s="367"/>
      <c r="G144" s="368"/>
      <c r="H144" s="368"/>
      <c r="I144" s="369">
        <f>IFERROR(VLOOKUP(O144,[4]CREDITORS!A:B,2,0),"")</f>
        <v>0</v>
      </c>
      <c r="J144" s="370"/>
      <c r="K144" s="370"/>
      <c r="L144" s="371">
        <f t="shared" si="6"/>
        <v>22220976.69</v>
      </c>
      <c r="M144" s="372"/>
      <c r="N144" s="373"/>
      <c r="O144" s="345"/>
      <c r="P144" s="279"/>
      <c r="Q144" s="347">
        <f t="shared" si="5"/>
        <v>0</v>
      </c>
      <c r="R144" s="279"/>
      <c r="S144" s="279"/>
      <c r="T144" s="279"/>
      <c r="U144" s="279"/>
      <c r="V144" s="279"/>
      <c r="W144" s="279"/>
      <c r="X144" s="279"/>
      <c r="Y144" s="279"/>
    </row>
    <row r="145" s="104" customFormat="1" ht="24.75" customHeight="1" spans="1:25">
      <c r="A145" s="362"/>
      <c r="B145" s="363"/>
      <c r="C145" s="364"/>
      <c r="D145" s="365"/>
      <c r="E145" s="366" t="str">
        <f>IF(D145="","",VLOOKUP(D145,'[4]Account Code'!$A$3:$D$273,2,0))</f>
        <v/>
      </c>
      <c r="F145" s="367"/>
      <c r="G145" s="368"/>
      <c r="H145" s="368"/>
      <c r="I145" s="369">
        <f>IFERROR(VLOOKUP(O145,[4]CREDITORS!A:B,2,0),"")</f>
        <v>0</v>
      </c>
      <c r="J145" s="370"/>
      <c r="K145" s="370"/>
      <c r="L145" s="371">
        <f t="shared" si="6"/>
        <v>22220976.69</v>
      </c>
      <c r="M145" s="372"/>
      <c r="N145" s="373"/>
      <c r="O145" s="345"/>
      <c r="P145" s="279"/>
      <c r="Q145" s="347">
        <f t="shared" si="5"/>
        <v>0</v>
      </c>
      <c r="R145" s="279"/>
      <c r="S145" s="279"/>
      <c r="T145" s="279"/>
      <c r="U145" s="279"/>
      <c r="V145" s="279"/>
      <c r="W145" s="279"/>
      <c r="X145" s="279"/>
      <c r="Y145" s="279"/>
    </row>
    <row r="146" s="104" customFormat="1" ht="24.75" customHeight="1" spans="1:25">
      <c r="A146" s="362"/>
      <c r="B146" s="363"/>
      <c r="C146" s="364"/>
      <c r="D146" s="365"/>
      <c r="E146" s="366" t="str">
        <f>IF(D146="","",VLOOKUP(D146,'[4]Account Code'!$A$3:$D$273,2,0))</f>
        <v/>
      </c>
      <c r="F146" s="367"/>
      <c r="G146" s="368"/>
      <c r="H146" s="368"/>
      <c r="I146" s="369">
        <f>IFERROR(VLOOKUP(O146,[4]CREDITORS!A:B,2,0),"")</f>
        <v>0</v>
      </c>
      <c r="J146" s="370"/>
      <c r="K146" s="370"/>
      <c r="L146" s="371">
        <f t="shared" si="6"/>
        <v>22220976.69</v>
      </c>
      <c r="M146" s="372"/>
      <c r="N146" s="373"/>
      <c r="O146" s="345"/>
      <c r="P146" s="279"/>
      <c r="Q146" s="347">
        <f t="shared" si="5"/>
        <v>0</v>
      </c>
      <c r="R146" s="279"/>
      <c r="S146" s="279"/>
      <c r="T146" s="279"/>
      <c r="U146" s="279"/>
      <c r="V146" s="279"/>
      <c r="W146" s="279"/>
      <c r="X146" s="279"/>
      <c r="Y146" s="279"/>
    </row>
    <row r="147" s="104" customFormat="1" ht="24.75" customHeight="1" spans="1:25">
      <c r="A147" s="362"/>
      <c r="B147" s="363"/>
      <c r="C147" s="364"/>
      <c r="D147" s="365"/>
      <c r="E147" s="366" t="str">
        <f>IF(D147="","",VLOOKUP(D147,'[4]Account Code'!$A$3:$D$273,2,0))</f>
        <v/>
      </c>
      <c r="F147" s="367"/>
      <c r="G147" s="368"/>
      <c r="H147" s="368"/>
      <c r="I147" s="369">
        <f>IFERROR(VLOOKUP(O147,[4]CREDITORS!A:B,2,0),"")</f>
        <v>0</v>
      </c>
      <c r="J147" s="370"/>
      <c r="K147" s="370"/>
      <c r="L147" s="371">
        <f t="shared" si="6"/>
        <v>22220976.69</v>
      </c>
      <c r="M147" s="372"/>
      <c r="N147" s="373"/>
      <c r="O147" s="345"/>
      <c r="P147" s="279"/>
      <c r="Q147" s="347">
        <f t="shared" si="5"/>
        <v>0</v>
      </c>
      <c r="R147" s="279"/>
      <c r="S147" s="279"/>
      <c r="T147" s="279"/>
      <c r="U147" s="279"/>
      <c r="V147" s="279"/>
      <c r="W147" s="279"/>
      <c r="X147" s="279"/>
      <c r="Y147" s="279"/>
    </row>
    <row r="148" s="104" customFormat="1" ht="24" customHeight="1" spans="1:25">
      <c r="A148" s="362"/>
      <c r="B148" s="363"/>
      <c r="C148" s="364"/>
      <c r="D148" s="365"/>
      <c r="E148" s="366" t="str">
        <f>IF(D148="","",VLOOKUP(D148,'[4]Account Code'!$A$3:$D$273,2,0))</f>
        <v/>
      </c>
      <c r="F148" s="367"/>
      <c r="G148" s="368"/>
      <c r="H148" s="368"/>
      <c r="I148" s="369">
        <f>IFERROR(VLOOKUP(O148,[4]CREDITORS!A:B,2,0),"")</f>
        <v>0</v>
      </c>
      <c r="J148" s="370"/>
      <c r="K148" s="370"/>
      <c r="L148" s="371">
        <f t="shared" si="6"/>
        <v>22220976.69</v>
      </c>
      <c r="M148" s="372"/>
      <c r="N148" s="373"/>
      <c r="O148" s="345"/>
      <c r="P148" s="279"/>
      <c r="Q148" s="347">
        <f t="shared" si="5"/>
        <v>0</v>
      </c>
      <c r="R148" s="279"/>
      <c r="S148" s="279"/>
      <c r="T148" s="279"/>
      <c r="U148" s="279"/>
      <c r="V148" s="279"/>
      <c r="W148" s="279"/>
      <c r="X148" s="279"/>
      <c r="Y148" s="279"/>
    </row>
    <row r="149" s="104" customFormat="1" ht="24" customHeight="1" spans="1:25">
      <c r="A149" s="362"/>
      <c r="B149" s="363"/>
      <c r="C149" s="364"/>
      <c r="D149" s="365"/>
      <c r="E149" s="366" t="str">
        <f>IF(D149="","",VLOOKUP(D149,'[4]Account Code'!$A$3:$D$273,2,0))</f>
        <v/>
      </c>
      <c r="F149" s="367"/>
      <c r="G149" s="368"/>
      <c r="H149" s="368"/>
      <c r="I149" s="369">
        <f>IFERROR(VLOOKUP(O149,[4]CREDITORS!A:B,2,0),"")</f>
        <v>0</v>
      </c>
      <c r="J149" s="370"/>
      <c r="K149" s="370"/>
      <c r="L149" s="371">
        <f t="shared" si="6"/>
        <v>22220976.69</v>
      </c>
      <c r="M149" s="372"/>
      <c r="N149" s="373"/>
      <c r="O149" s="345"/>
      <c r="P149" s="279"/>
      <c r="Q149" s="347">
        <f t="shared" si="5"/>
        <v>0</v>
      </c>
      <c r="R149" s="279"/>
      <c r="S149" s="279"/>
      <c r="T149" s="279"/>
      <c r="U149" s="279"/>
      <c r="V149" s="279"/>
      <c r="W149" s="279"/>
      <c r="X149" s="279"/>
      <c r="Y149" s="279"/>
    </row>
    <row r="150" s="104" customFormat="1" ht="24" customHeight="1" spans="1:25">
      <c r="A150" s="362"/>
      <c r="B150" s="363"/>
      <c r="C150" s="364"/>
      <c r="D150" s="365"/>
      <c r="E150" s="366" t="str">
        <f>IF(D150="","",VLOOKUP(D150,'[4]Account Code'!$A$3:$D$273,2,0))</f>
        <v/>
      </c>
      <c r="F150" s="367"/>
      <c r="G150" s="368"/>
      <c r="H150" s="368"/>
      <c r="I150" s="369">
        <f>IFERROR(VLOOKUP(O150,[4]CREDITORS!A:B,2,0),"")</f>
        <v>0</v>
      </c>
      <c r="J150" s="370"/>
      <c r="K150" s="370"/>
      <c r="L150" s="371">
        <f t="shared" si="6"/>
        <v>22220976.69</v>
      </c>
      <c r="M150" s="372"/>
      <c r="N150" s="373"/>
      <c r="O150" s="345"/>
      <c r="P150" s="279"/>
      <c r="Q150" s="347">
        <f t="shared" si="5"/>
        <v>0</v>
      </c>
      <c r="R150" s="279"/>
      <c r="S150" s="279"/>
      <c r="T150" s="279"/>
      <c r="U150" s="279"/>
      <c r="V150" s="279"/>
      <c r="W150" s="279"/>
      <c r="X150" s="279"/>
      <c r="Y150" s="279"/>
    </row>
    <row r="151" s="104" customFormat="1" ht="24" customHeight="1" spans="1:25">
      <c r="A151" s="362"/>
      <c r="B151" s="363"/>
      <c r="C151" s="364"/>
      <c r="D151" s="365"/>
      <c r="E151" s="366" t="str">
        <f>IF(D151="","",VLOOKUP(D151,'[4]Account Code'!$A$3:$D$273,2,0))</f>
        <v/>
      </c>
      <c r="F151" s="367"/>
      <c r="G151" s="368"/>
      <c r="H151" s="368"/>
      <c r="I151" s="369">
        <f>IFERROR(VLOOKUP(O151,[4]CREDITORS!A:B,2,0),"")</f>
        <v>0</v>
      </c>
      <c r="J151" s="370"/>
      <c r="K151" s="370"/>
      <c r="L151" s="371">
        <f t="shared" si="6"/>
        <v>22220976.69</v>
      </c>
      <c r="M151" s="372"/>
      <c r="N151" s="373"/>
      <c r="O151" s="345"/>
      <c r="P151" s="279"/>
      <c r="Q151" s="347">
        <f t="shared" si="5"/>
        <v>0</v>
      </c>
      <c r="R151" s="279"/>
      <c r="S151" s="279"/>
      <c r="T151" s="279"/>
      <c r="U151" s="279"/>
      <c r="V151" s="279"/>
      <c r="W151" s="279"/>
      <c r="X151" s="279"/>
      <c r="Y151" s="279"/>
    </row>
    <row r="152" s="104" customFormat="1" ht="24" customHeight="1" spans="1:25">
      <c r="A152" s="362"/>
      <c r="B152" s="363"/>
      <c r="C152" s="364"/>
      <c r="D152" s="365"/>
      <c r="E152" s="366" t="str">
        <f>IF(D152="","",VLOOKUP(D152,'[4]Account Code'!$A$3:$D$273,2,0))</f>
        <v/>
      </c>
      <c r="F152" s="367"/>
      <c r="G152" s="368"/>
      <c r="H152" s="368"/>
      <c r="I152" s="369">
        <f>IFERROR(VLOOKUP(O152,[4]CREDITORS!A:B,2,0),"")</f>
        <v>0</v>
      </c>
      <c r="J152" s="370"/>
      <c r="K152" s="370"/>
      <c r="L152" s="371">
        <f t="shared" si="6"/>
        <v>22220976.69</v>
      </c>
      <c r="M152" s="372"/>
      <c r="N152" s="373"/>
      <c r="O152" s="345"/>
      <c r="P152" s="279"/>
      <c r="Q152" s="347">
        <f t="shared" si="5"/>
        <v>0</v>
      </c>
      <c r="R152" s="279"/>
      <c r="S152" s="279"/>
      <c r="T152" s="279"/>
      <c r="U152" s="279"/>
      <c r="V152" s="279"/>
      <c r="W152" s="279"/>
      <c r="X152" s="279"/>
      <c r="Y152" s="279"/>
    </row>
    <row r="153" s="104" customFormat="1" ht="24" customHeight="1" spans="1:25">
      <c r="A153" s="362"/>
      <c r="B153" s="363"/>
      <c r="C153" s="364"/>
      <c r="D153" s="365"/>
      <c r="E153" s="366" t="str">
        <f>IF(D153="","",VLOOKUP(D153,'[4]Account Code'!$A$3:$D$273,2,0))</f>
        <v/>
      </c>
      <c r="F153" s="367"/>
      <c r="G153" s="368"/>
      <c r="H153" s="368"/>
      <c r="I153" s="369">
        <f>IFERROR(VLOOKUP(O153,[4]CREDITORS!A:B,2,0),"")</f>
        <v>0</v>
      </c>
      <c r="J153" s="370"/>
      <c r="K153" s="370"/>
      <c r="L153" s="371">
        <f t="shared" si="6"/>
        <v>22220976.69</v>
      </c>
      <c r="M153" s="372"/>
      <c r="N153" s="373"/>
      <c r="O153" s="345"/>
      <c r="P153" s="279"/>
      <c r="Q153" s="347">
        <f t="shared" si="5"/>
        <v>0</v>
      </c>
      <c r="R153" s="279"/>
      <c r="S153" s="279"/>
      <c r="T153" s="279"/>
      <c r="U153" s="279"/>
      <c r="V153" s="279"/>
      <c r="W153" s="279"/>
      <c r="X153" s="279"/>
      <c r="Y153" s="279"/>
    </row>
    <row r="154" s="104" customFormat="1" ht="24" customHeight="1" spans="1:25">
      <c r="A154" s="362"/>
      <c r="B154" s="363"/>
      <c r="C154" s="364"/>
      <c r="D154" s="365"/>
      <c r="E154" s="366" t="str">
        <f>IF(D154="","",VLOOKUP(D154,'[4]Account Code'!$A$3:$D$273,2,0))</f>
        <v/>
      </c>
      <c r="F154" s="367"/>
      <c r="G154" s="368"/>
      <c r="H154" s="368"/>
      <c r="I154" s="369">
        <f>IFERROR(VLOOKUP(O154,[4]CREDITORS!A:B,2,0),"")</f>
        <v>0</v>
      </c>
      <c r="J154" s="370"/>
      <c r="K154" s="370"/>
      <c r="L154" s="371">
        <f t="shared" si="6"/>
        <v>22220976.69</v>
      </c>
      <c r="M154" s="372"/>
      <c r="N154" s="373"/>
      <c r="O154" s="345"/>
      <c r="P154" s="279"/>
      <c r="Q154" s="347">
        <f t="shared" si="5"/>
        <v>0</v>
      </c>
      <c r="R154" s="380"/>
      <c r="S154" s="279"/>
      <c r="T154" s="279"/>
      <c r="U154" s="279"/>
      <c r="V154" s="279"/>
      <c r="W154" s="279"/>
      <c r="X154" s="279"/>
      <c r="Y154" s="279"/>
    </row>
    <row r="155" s="104" customFormat="1" ht="24" customHeight="1" spans="1:25">
      <c r="A155" s="362"/>
      <c r="B155" s="363"/>
      <c r="C155" s="364"/>
      <c r="D155" s="365"/>
      <c r="E155" s="366" t="str">
        <f>IF(D155="","",VLOOKUP(D155,'[4]Account Code'!$A$3:$D$273,2,0))</f>
        <v/>
      </c>
      <c r="F155" s="367"/>
      <c r="G155" s="368"/>
      <c r="H155" s="368"/>
      <c r="I155" s="369">
        <f>IFERROR(VLOOKUP(O155,[4]CREDITORS!A:B,2,0),"")</f>
        <v>0</v>
      </c>
      <c r="J155" s="370"/>
      <c r="K155" s="370"/>
      <c r="L155" s="371">
        <f t="shared" si="6"/>
        <v>22220976.69</v>
      </c>
      <c r="M155" s="372"/>
      <c r="N155" s="373"/>
      <c r="O155" s="345"/>
      <c r="P155" s="279"/>
      <c r="Q155" s="347">
        <f t="shared" si="5"/>
        <v>0</v>
      </c>
      <c r="R155" s="279"/>
      <c r="S155" s="279"/>
      <c r="T155" s="279"/>
      <c r="U155" s="279"/>
      <c r="V155" s="279"/>
      <c r="W155" s="279"/>
      <c r="X155" s="279"/>
      <c r="Y155" s="279"/>
    </row>
    <row r="156" s="104" customFormat="1" ht="24" customHeight="1" spans="1:25">
      <c r="A156" s="362"/>
      <c r="B156" s="363"/>
      <c r="C156" s="364"/>
      <c r="D156" s="365"/>
      <c r="E156" s="366" t="str">
        <f>IF(D156="","",VLOOKUP(D156,'[4]Account Code'!$A$3:$D$273,2,0))</f>
        <v/>
      </c>
      <c r="F156" s="367"/>
      <c r="G156" s="368"/>
      <c r="H156" s="368"/>
      <c r="I156" s="369">
        <f>IFERROR(VLOOKUP(O156,[4]CREDITORS!A:B,2,0),"")</f>
        <v>0</v>
      </c>
      <c r="J156" s="370"/>
      <c r="K156" s="370"/>
      <c r="L156" s="371">
        <f t="shared" si="6"/>
        <v>22220976.69</v>
      </c>
      <c r="M156" s="372"/>
      <c r="N156" s="373"/>
      <c r="O156" s="345"/>
      <c r="P156" s="279"/>
      <c r="Q156" s="347">
        <f t="shared" si="5"/>
        <v>0</v>
      </c>
      <c r="R156" s="279"/>
      <c r="S156" s="279"/>
      <c r="T156" s="279"/>
      <c r="U156" s="279"/>
      <c r="V156" s="279"/>
      <c r="W156" s="279"/>
      <c r="X156" s="279"/>
      <c r="Y156" s="279"/>
    </row>
    <row r="157" s="104" customFormat="1" ht="24" customHeight="1" spans="1:25">
      <c r="A157" s="362"/>
      <c r="B157" s="363"/>
      <c r="C157" s="364"/>
      <c r="D157" s="365"/>
      <c r="E157" s="366" t="str">
        <f>IF(D157="","",VLOOKUP(D157,'[4]Account Code'!$A$3:$D$273,2,0))</f>
        <v/>
      </c>
      <c r="F157" s="367"/>
      <c r="G157" s="368"/>
      <c r="H157" s="368"/>
      <c r="I157" s="369">
        <f>IFERROR(VLOOKUP(O157,[4]CREDITORS!A:B,2,0),"")</f>
        <v>0</v>
      </c>
      <c r="J157" s="370"/>
      <c r="K157" s="370"/>
      <c r="L157" s="371">
        <f t="shared" si="6"/>
        <v>22220976.69</v>
      </c>
      <c r="M157" s="372"/>
      <c r="N157" s="373"/>
      <c r="O157" s="345"/>
      <c r="P157" s="279"/>
      <c r="Q157" s="347">
        <f t="shared" si="5"/>
        <v>0</v>
      </c>
      <c r="R157" s="279"/>
      <c r="S157" s="279"/>
      <c r="T157" s="279"/>
      <c r="U157" s="279"/>
      <c r="V157" s="279"/>
      <c r="W157" s="279"/>
      <c r="X157" s="279"/>
      <c r="Y157" s="279"/>
    </row>
    <row r="158" s="104" customFormat="1" ht="24" customHeight="1" spans="1:25">
      <c r="A158" s="362"/>
      <c r="B158" s="363"/>
      <c r="C158" s="364"/>
      <c r="D158" s="365"/>
      <c r="E158" s="366" t="str">
        <f>IF(D158="","",VLOOKUP(D158,'[4]Account Code'!$A$3:$D$273,2,0))</f>
        <v/>
      </c>
      <c r="F158" s="367"/>
      <c r="G158" s="368"/>
      <c r="H158" s="368"/>
      <c r="I158" s="369">
        <f>IFERROR(VLOOKUP(O158,[4]CREDITORS!A:B,2,0),"")</f>
        <v>0</v>
      </c>
      <c r="J158" s="370"/>
      <c r="K158" s="370"/>
      <c r="L158" s="371">
        <f t="shared" si="6"/>
        <v>22220976.69</v>
      </c>
      <c r="M158" s="372"/>
      <c r="N158" s="373"/>
      <c r="O158" s="345"/>
      <c r="P158" s="279"/>
      <c r="Q158" s="347">
        <f t="shared" si="5"/>
        <v>0</v>
      </c>
      <c r="R158" s="279"/>
      <c r="S158" s="279"/>
      <c r="T158" s="279"/>
      <c r="U158" s="279"/>
      <c r="V158" s="279"/>
      <c r="W158" s="279"/>
      <c r="X158" s="279"/>
      <c r="Y158" s="279"/>
    </row>
    <row r="159" s="104" customFormat="1" ht="24" customHeight="1" spans="1:25">
      <c r="A159" s="362"/>
      <c r="B159" s="363"/>
      <c r="C159" s="364"/>
      <c r="D159" s="365"/>
      <c r="E159" s="366" t="str">
        <f>IF(D159="","",VLOOKUP(D159,'[4]Account Code'!$A$3:$D$273,2,0))</f>
        <v/>
      </c>
      <c r="F159" s="367"/>
      <c r="G159" s="368"/>
      <c r="H159" s="368"/>
      <c r="I159" s="369">
        <f>IFERROR(VLOOKUP(O159,[4]CREDITORS!A:B,2,0),"")</f>
        <v>0</v>
      </c>
      <c r="J159" s="370"/>
      <c r="K159" s="370"/>
      <c r="L159" s="371">
        <f t="shared" si="6"/>
        <v>22220976.69</v>
      </c>
      <c r="M159" s="372"/>
      <c r="N159" s="373"/>
      <c r="O159" s="345"/>
      <c r="P159" s="279"/>
      <c r="Q159" s="347">
        <f t="shared" si="5"/>
        <v>0</v>
      </c>
      <c r="R159" s="279"/>
      <c r="S159" s="279"/>
      <c r="T159" s="279"/>
      <c r="U159" s="279"/>
      <c r="V159" s="279"/>
      <c r="W159" s="279"/>
      <c r="X159" s="279"/>
      <c r="Y159" s="279"/>
    </row>
    <row r="160" s="104" customFormat="1" ht="24" customHeight="1" spans="1:25">
      <c r="A160" s="362"/>
      <c r="B160" s="363"/>
      <c r="C160" s="364"/>
      <c r="D160" s="365"/>
      <c r="E160" s="366" t="str">
        <f>IF(D160="","",VLOOKUP(D160,'[4]Account Code'!$A$3:$D$273,2,0))</f>
        <v/>
      </c>
      <c r="F160" s="367"/>
      <c r="G160" s="368"/>
      <c r="H160" s="368"/>
      <c r="I160" s="369">
        <f>IFERROR(VLOOKUP(O160,[4]CREDITORS!A:B,2,0),"")</f>
        <v>0</v>
      </c>
      <c r="J160" s="370"/>
      <c r="K160" s="370"/>
      <c r="L160" s="371">
        <f t="shared" si="6"/>
        <v>22220976.69</v>
      </c>
      <c r="M160" s="372"/>
      <c r="N160" s="373"/>
      <c r="O160" s="345"/>
      <c r="P160" s="279"/>
      <c r="Q160" s="347">
        <f t="shared" si="5"/>
        <v>0</v>
      </c>
      <c r="R160" s="279"/>
      <c r="S160" s="279"/>
      <c r="T160" s="279"/>
      <c r="U160" s="279"/>
      <c r="V160" s="279"/>
      <c r="W160" s="279"/>
      <c r="X160" s="279"/>
      <c r="Y160" s="279"/>
    </row>
    <row r="161" s="104" customFormat="1" ht="24" customHeight="1" spans="1:25">
      <c r="A161" s="362"/>
      <c r="B161" s="363"/>
      <c r="C161" s="364"/>
      <c r="D161" s="365"/>
      <c r="E161" s="366" t="str">
        <f>IF(D161="","",VLOOKUP(D161,'[4]Account Code'!$A$3:$D$273,2,0))</f>
        <v/>
      </c>
      <c r="F161" s="367"/>
      <c r="G161" s="368"/>
      <c r="H161" s="368"/>
      <c r="I161" s="369">
        <f>IFERROR(VLOOKUP(O161,[4]CREDITORS!A:B,2,0),"")</f>
        <v>0</v>
      </c>
      <c r="J161" s="381"/>
      <c r="K161" s="370"/>
      <c r="L161" s="371">
        <f t="shared" si="6"/>
        <v>22220976.69</v>
      </c>
      <c r="M161" s="372"/>
      <c r="N161" s="373"/>
      <c r="O161" s="345"/>
      <c r="P161" s="279"/>
      <c r="Q161" s="347">
        <f t="shared" si="5"/>
        <v>0</v>
      </c>
      <c r="R161" s="279"/>
      <c r="S161" s="279"/>
      <c r="T161" s="279"/>
      <c r="U161" s="279"/>
      <c r="V161" s="279"/>
      <c r="W161" s="279"/>
      <c r="X161" s="279"/>
      <c r="Y161" s="279"/>
    </row>
    <row r="162" s="104" customFormat="1" ht="24" customHeight="1" spans="1:25">
      <c r="A162" s="362"/>
      <c r="B162" s="363"/>
      <c r="C162" s="364"/>
      <c r="D162" s="365"/>
      <c r="E162" s="366" t="str">
        <f>IF(D162="","",VLOOKUP(D162,'[4]Account Code'!$A$3:$D$273,2,0))</f>
        <v/>
      </c>
      <c r="F162" s="367"/>
      <c r="G162" s="368"/>
      <c r="H162" s="368"/>
      <c r="I162" s="369">
        <f>IFERROR(VLOOKUP(O162,[4]CREDITORS!A:B,2,0),"")</f>
        <v>0</v>
      </c>
      <c r="J162" s="381"/>
      <c r="K162" s="370"/>
      <c r="L162" s="371">
        <f t="shared" si="6"/>
        <v>22220976.69</v>
      </c>
      <c r="M162" s="372"/>
      <c r="N162" s="373"/>
      <c r="O162" s="345"/>
      <c r="P162" s="279"/>
      <c r="Q162" s="347">
        <f t="shared" si="5"/>
        <v>0</v>
      </c>
      <c r="R162" s="279"/>
      <c r="S162" s="279"/>
      <c r="T162" s="279"/>
      <c r="U162" s="279"/>
      <c r="V162" s="279"/>
      <c r="W162" s="279"/>
      <c r="X162" s="279"/>
      <c r="Y162" s="279"/>
    </row>
    <row r="163" s="104" customFormat="1" ht="24" customHeight="1" spans="1:25">
      <c r="A163" s="362"/>
      <c r="B163" s="363"/>
      <c r="C163" s="364"/>
      <c r="D163" s="365"/>
      <c r="E163" s="366" t="str">
        <f>IF(D163="","",VLOOKUP(D163,'[4]Account Code'!$A$3:$D$273,2,0))</f>
        <v/>
      </c>
      <c r="F163" s="367"/>
      <c r="G163" s="368"/>
      <c r="H163" s="368"/>
      <c r="I163" s="369">
        <f>IFERROR(VLOOKUP(O163,[4]CREDITORS!A:B,2,0),"")</f>
        <v>0</v>
      </c>
      <c r="J163" s="381"/>
      <c r="K163" s="370"/>
      <c r="L163" s="371">
        <f t="shared" si="6"/>
        <v>22220976.69</v>
      </c>
      <c r="M163" s="372"/>
      <c r="N163" s="373"/>
      <c r="O163" s="345"/>
      <c r="P163" s="279"/>
      <c r="Q163" s="347">
        <f t="shared" si="5"/>
        <v>0</v>
      </c>
      <c r="R163" s="279"/>
      <c r="S163" s="279"/>
      <c r="T163" s="279"/>
      <c r="U163" s="279"/>
      <c r="V163" s="279"/>
      <c r="W163" s="279"/>
      <c r="X163" s="279"/>
      <c r="Y163" s="279"/>
    </row>
    <row r="164" s="104" customFormat="1" ht="24" customHeight="1" spans="1:25">
      <c r="A164" s="362"/>
      <c r="B164" s="363"/>
      <c r="C164" s="364"/>
      <c r="D164" s="365"/>
      <c r="E164" s="366" t="str">
        <f>IF(D164="","",VLOOKUP(D164,'[4]Account Code'!$A$3:$D$273,2,0))</f>
        <v/>
      </c>
      <c r="F164" s="367"/>
      <c r="G164" s="368"/>
      <c r="H164" s="368"/>
      <c r="I164" s="369">
        <f>IFERROR(VLOOKUP(O164,[4]CREDITORS!A:B,2,0),"")</f>
        <v>0</v>
      </c>
      <c r="J164" s="370"/>
      <c r="K164" s="370"/>
      <c r="L164" s="371">
        <f t="shared" si="6"/>
        <v>22220976.69</v>
      </c>
      <c r="M164" s="372"/>
      <c r="N164" s="373"/>
      <c r="O164" s="345"/>
      <c r="P164" s="279"/>
      <c r="Q164" s="347">
        <f t="shared" si="5"/>
        <v>0</v>
      </c>
      <c r="R164" s="279"/>
      <c r="S164" s="279"/>
      <c r="T164" s="279"/>
      <c r="U164" s="279"/>
      <c r="V164" s="279"/>
      <c r="W164" s="279"/>
      <c r="X164" s="279"/>
      <c r="Y164" s="279"/>
    </row>
    <row r="165" s="104" customFormat="1" ht="24" customHeight="1" spans="1:25">
      <c r="A165" s="362"/>
      <c r="B165" s="363"/>
      <c r="C165" s="364"/>
      <c r="D165" s="365"/>
      <c r="E165" s="366" t="str">
        <f>IF(D165="","",VLOOKUP(D165,'[4]Account Code'!$A$3:$D$273,2,0))</f>
        <v/>
      </c>
      <c r="F165" s="367"/>
      <c r="G165" s="368"/>
      <c r="H165" s="368"/>
      <c r="I165" s="369">
        <f>IFERROR(VLOOKUP(O165,[4]CREDITORS!A:B,2,0),"")</f>
        <v>0</v>
      </c>
      <c r="J165" s="370"/>
      <c r="K165" s="370"/>
      <c r="L165" s="371">
        <f t="shared" si="6"/>
        <v>22220976.69</v>
      </c>
      <c r="M165" s="372"/>
      <c r="N165" s="373"/>
      <c r="O165" s="345"/>
      <c r="P165" s="279"/>
      <c r="Q165" s="347">
        <f t="shared" si="5"/>
        <v>0</v>
      </c>
      <c r="R165" s="279"/>
      <c r="S165" s="279"/>
      <c r="T165" s="279"/>
      <c r="U165" s="279"/>
      <c r="V165" s="279"/>
      <c r="W165" s="279"/>
      <c r="X165" s="279"/>
      <c r="Y165" s="279"/>
    </row>
    <row r="166" s="104" customFormat="1" ht="24" customHeight="1" spans="1:25">
      <c r="A166" s="362"/>
      <c r="B166" s="363"/>
      <c r="C166" s="364"/>
      <c r="D166" s="365"/>
      <c r="E166" s="366" t="str">
        <f>IF(D166="","",VLOOKUP(D166,'[4]Account Code'!$A$3:$D$273,2,0))</f>
        <v/>
      </c>
      <c r="F166" s="367"/>
      <c r="G166" s="368"/>
      <c r="H166" s="368"/>
      <c r="I166" s="369">
        <f>IFERROR(VLOOKUP(O166,[4]CREDITORS!A:B,2,0),"")</f>
        <v>0</v>
      </c>
      <c r="J166" s="370"/>
      <c r="K166" s="370"/>
      <c r="L166" s="371">
        <f t="shared" si="6"/>
        <v>22220976.69</v>
      </c>
      <c r="M166" s="372"/>
      <c r="N166" s="373"/>
      <c r="O166" s="345"/>
      <c r="P166" s="279"/>
      <c r="Q166" s="347">
        <f t="shared" si="5"/>
        <v>0</v>
      </c>
      <c r="R166" s="279"/>
      <c r="S166" s="279"/>
      <c r="T166" s="279"/>
      <c r="U166" s="279"/>
      <c r="V166" s="279"/>
      <c r="W166" s="279"/>
      <c r="X166" s="279"/>
      <c r="Y166" s="279"/>
    </row>
    <row r="167" s="104" customFormat="1" ht="24" customHeight="1" spans="1:25">
      <c r="A167" s="362"/>
      <c r="B167" s="363"/>
      <c r="C167" s="364"/>
      <c r="D167" s="365"/>
      <c r="E167" s="366" t="str">
        <f>IF(D167="","",VLOOKUP(D167,'[4]Account Code'!$A$3:$D$273,2,0))</f>
        <v/>
      </c>
      <c r="F167" s="367"/>
      <c r="G167" s="368"/>
      <c r="H167" s="368"/>
      <c r="I167" s="369">
        <f>IFERROR(VLOOKUP(O167,[4]CREDITORS!A:B,2,0),"")</f>
        <v>0</v>
      </c>
      <c r="J167" s="370"/>
      <c r="K167" s="370"/>
      <c r="L167" s="371">
        <f t="shared" si="6"/>
        <v>22220976.69</v>
      </c>
      <c r="M167" s="372"/>
      <c r="N167" s="373"/>
      <c r="O167" s="345"/>
      <c r="P167" s="279"/>
      <c r="Q167" s="347">
        <f t="shared" si="5"/>
        <v>0</v>
      </c>
      <c r="R167" s="279"/>
      <c r="S167" s="279"/>
      <c r="T167" s="279"/>
      <c r="U167" s="279"/>
      <c r="V167" s="279"/>
      <c r="W167" s="279"/>
      <c r="X167" s="279"/>
      <c r="Y167" s="279"/>
    </row>
    <row r="168" s="104" customFormat="1" ht="24" customHeight="1" spans="1:25">
      <c r="A168" s="362"/>
      <c r="B168" s="363"/>
      <c r="C168" s="364"/>
      <c r="D168" s="365"/>
      <c r="E168" s="366" t="str">
        <f>IF(D168="","",VLOOKUP(D168,'[4]Account Code'!$A$3:$D$273,2,0))</f>
        <v/>
      </c>
      <c r="F168" s="367"/>
      <c r="G168" s="368"/>
      <c r="H168" s="368"/>
      <c r="I168" s="369">
        <f>IFERROR(VLOOKUP(O168,[4]CREDITORS!A:B,2,0),"")</f>
        <v>0</v>
      </c>
      <c r="J168" s="370"/>
      <c r="K168" s="370"/>
      <c r="L168" s="371">
        <f t="shared" si="6"/>
        <v>22220976.69</v>
      </c>
      <c r="M168" s="372"/>
      <c r="N168" s="373"/>
      <c r="O168" s="345"/>
      <c r="P168" s="279"/>
      <c r="Q168" s="347">
        <f t="shared" si="5"/>
        <v>0</v>
      </c>
      <c r="R168" s="279"/>
      <c r="S168" s="279"/>
      <c r="T168" s="279"/>
      <c r="U168" s="279"/>
      <c r="V168" s="279"/>
      <c r="W168" s="279"/>
      <c r="X168" s="279"/>
      <c r="Y168" s="279"/>
    </row>
    <row r="169" s="104" customFormat="1" ht="24" customHeight="1" spans="1:25">
      <c r="A169" s="362"/>
      <c r="B169" s="363"/>
      <c r="C169" s="364"/>
      <c r="D169" s="365"/>
      <c r="E169" s="366" t="str">
        <f>IF(D169="","",VLOOKUP(D169,'[4]Account Code'!$A$3:$D$273,2,0))</f>
        <v/>
      </c>
      <c r="F169" s="367"/>
      <c r="G169" s="368"/>
      <c r="H169" s="368"/>
      <c r="I169" s="369">
        <f>IFERROR(VLOOKUP(O169,[4]CREDITORS!A:B,2,0),"")</f>
        <v>0</v>
      </c>
      <c r="J169" s="381"/>
      <c r="K169" s="381"/>
      <c r="L169" s="371">
        <f t="shared" si="6"/>
        <v>22220976.69</v>
      </c>
      <c r="M169" s="372"/>
      <c r="N169" s="373"/>
      <c r="O169" s="345"/>
      <c r="P169" s="279"/>
      <c r="Q169" s="347">
        <f t="shared" si="5"/>
        <v>0</v>
      </c>
      <c r="R169" s="279"/>
      <c r="S169" s="279"/>
      <c r="T169" s="279"/>
      <c r="U169" s="279"/>
      <c r="V169" s="279"/>
      <c r="W169" s="279"/>
      <c r="X169" s="279"/>
      <c r="Y169" s="279"/>
    </row>
    <row r="170" s="104" customFormat="1" ht="24" customHeight="1" spans="1:25">
      <c r="A170" s="362"/>
      <c r="B170" s="363"/>
      <c r="C170" s="364"/>
      <c r="D170" s="365"/>
      <c r="E170" s="366" t="str">
        <f>IF(D170="","",VLOOKUP(D170,'[4]Account Code'!$A$3:$D$273,2,0))</f>
        <v/>
      </c>
      <c r="F170" s="367"/>
      <c r="G170" s="368"/>
      <c r="H170" s="368"/>
      <c r="I170" s="369">
        <f>IFERROR(VLOOKUP(O170,[4]CREDITORS!A:B,2,0),"")</f>
        <v>0</v>
      </c>
      <c r="J170" s="370"/>
      <c r="K170" s="370"/>
      <c r="L170" s="371">
        <f t="shared" si="6"/>
        <v>22220976.69</v>
      </c>
      <c r="M170" s="372"/>
      <c r="N170" s="373"/>
      <c r="O170" s="345"/>
      <c r="P170" s="279"/>
      <c r="Q170" s="347">
        <f t="shared" si="5"/>
        <v>0</v>
      </c>
      <c r="R170" s="279"/>
      <c r="S170" s="279"/>
      <c r="T170" s="279"/>
      <c r="U170" s="279"/>
      <c r="V170" s="279"/>
      <c r="W170" s="279"/>
      <c r="X170" s="279"/>
      <c r="Y170" s="279"/>
    </row>
    <row r="171" s="104" customFormat="1" ht="24" customHeight="1" spans="1:25">
      <c r="A171" s="362"/>
      <c r="B171" s="363"/>
      <c r="C171" s="364"/>
      <c r="D171" s="365"/>
      <c r="E171" s="366" t="str">
        <f>IF(D171="","",VLOOKUP(D171,'[4]Account Code'!$A$3:$D$273,2,0))</f>
        <v/>
      </c>
      <c r="F171" s="367"/>
      <c r="G171" s="368"/>
      <c r="H171" s="368"/>
      <c r="I171" s="369">
        <f>IFERROR(VLOOKUP(O171,[4]CREDITORS!A:B,2,0),"")</f>
        <v>0</v>
      </c>
      <c r="J171" s="370"/>
      <c r="K171" s="370"/>
      <c r="L171" s="371">
        <f t="shared" si="6"/>
        <v>22220976.69</v>
      </c>
      <c r="M171" s="372"/>
      <c r="N171" s="373"/>
      <c r="O171" s="345"/>
      <c r="P171" s="279"/>
      <c r="Q171" s="347">
        <f t="shared" si="5"/>
        <v>0</v>
      </c>
      <c r="R171" s="279"/>
      <c r="S171" s="279"/>
      <c r="T171" s="279"/>
      <c r="U171" s="279"/>
      <c r="V171" s="279"/>
      <c r="W171" s="279"/>
      <c r="X171" s="279"/>
      <c r="Y171" s="279"/>
    </row>
    <row r="172" s="104" customFormat="1" ht="24" customHeight="1" spans="1:25">
      <c r="A172" s="362"/>
      <c r="B172" s="363"/>
      <c r="C172" s="364"/>
      <c r="D172" s="365"/>
      <c r="E172" s="366" t="str">
        <f>IF(D172="","",VLOOKUP(D172,'[4]Account Code'!$A$3:$D$273,2,0))</f>
        <v/>
      </c>
      <c r="F172" s="367"/>
      <c r="G172" s="368"/>
      <c r="H172" s="368"/>
      <c r="I172" s="369">
        <f>IFERROR(VLOOKUP(O172,[4]CREDITORS!A:B,2,0),"")</f>
        <v>0</v>
      </c>
      <c r="J172" s="370"/>
      <c r="K172" s="370"/>
      <c r="L172" s="371">
        <f t="shared" si="6"/>
        <v>22220976.69</v>
      </c>
      <c r="M172" s="372"/>
      <c r="N172" s="373"/>
      <c r="O172" s="345"/>
      <c r="P172" s="279"/>
      <c r="Q172" s="347">
        <f t="shared" si="5"/>
        <v>0</v>
      </c>
      <c r="R172" s="279"/>
      <c r="S172" s="279"/>
      <c r="T172" s="279"/>
      <c r="U172" s="279"/>
      <c r="V172" s="279"/>
      <c r="W172" s="279"/>
      <c r="X172" s="279"/>
      <c r="Y172" s="279"/>
    </row>
    <row r="173" s="103" customFormat="1" ht="25.35" customHeight="1" spans="1:25">
      <c r="A173" s="362"/>
      <c r="B173" s="363"/>
      <c r="C173" s="364"/>
      <c r="D173" s="365"/>
      <c r="E173" s="366" t="str">
        <f>IF(D173="","",VLOOKUP(D173,'[4]Account Code'!$A$3:$D$273,2,0))</f>
        <v/>
      </c>
      <c r="F173" s="367"/>
      <c r="G173" s="368"/>
      <c r="H173" s="368"/>
      <c r="I173" s="369">
        <f>IFERROR(VLOOKUP(O173,[4]CREDITORS!A:B,2,0),"")</f>
        <v>0</v>
      </c>
      <c r="J173" s="370"/>
      <c r="K173" s="370"/>
      <c r="L173" s="371">
        <f t="shared" si="6"/>
        <v>22220976.69</v>
      </c>
      <c r="M173" s="372"/>
      <c r="N173" s="373"/>
      <c r="O173" s="345"/>
      <c r="P173" s="279"/>
      <c r="Q173" s="347">
        <f t="shared" si="5"/>
        <v>0</v>
      </c>
      <c r="R173" s="279"/>
      <c r="S173" s="279"/>
      <c r="T173" s="279"/>
      <c r="U173" s="279"/>
      <c r="V173" s="279"/>
      <c r="W173" s="279"/>
      <c r="X173" s="279"/>
      <c r="Y173" s="279"/>
    </row>
    <row r="174" s="103" customFormat="1" ht="25.35" customHeight="1" spans="1:25">
      <c r="A174" s="362"/>
      <c r="B174" s="363"/>
      <c r="C174" s="364"/>
      <c r="D174" s="365"/>
      <c r="E174" s="366" t="str">
        <f>IF(D174="","",VLOOKUP(D174,'[4]Account Code'!$A$3:$D$273,2,0))</f>
        <v/>
      </c>
      <c r="F174" s="367"/>
      <c r="G174" s="368"/>
      <c r="H174" s="368"/>
      <c r="I174" s="369">
        <f>IFERROR(VLOOKUP(O174,[4]CREDITORS!A:B,2,0),"")</f>
        <v>0</v>
      </c>
      <c r="J174" s="370"/>
      <c r="K174" s="370"/>
      <c r="L174" s="371">
        <f t="shared" si="6"/>
        <v>22220976.69</v>
      </c>
      <c r="M174" s="372"/>
      <c r="N174" s="373"/>
      <c r="O174" s="345"/>
      <c r="P174" s="279"/>
      <c r="Q174" s="347">
        <f t="shared" ref="Q174:Q237" si="7">(LEN(C174))</f>
        <v>0</v>
      </c>
      <c r="R174" s="279"/>
      <c r="S174" s="279"/>
      <c r="T174" s="279"/>
      <c r="U174" s="279"/>
      <c r="V174" s="279"/>
      <c r="W174" s="279"/>
      <c r="X174" s="279"/>
      <c r="Y174" s="279"/>
    </row>
    <row r="175" s="103" customFormat="1" ht="25.35" customHeight="1" spans="1:25">
      <c r="A175" s="362"/>
      <c r="B175" s="363"/>
      <c r="C175" s="364"/>
      <c r="D175" s="365"/>
      <c r="E175" s="366" t="str">
        <f>IF(D175="","",VLOOKUP(D175,'[4]Account Code'!$A$3:$D$273,2,0))</f>
        <v/>
      </c>
      <c r="F175" s="367"/>
      <c r="G175" s="368"/>
      <c r="H175" s="368"/>
      <c r="I175" s="369">
        <f>IFERROR(VLOOKUP(O175,[4]CREDITORS!A:B,2,0),"")</f>
        <v>0</v>
      </c>
      <c r="J175" s="370"/>
      <c r="K175" s="370"/>
      <c r="L175" s="371">
        <f t="shared" si="6"/>
        <v>22220976.69</v>
      </c>
      <c r="M175" s="372"/>
      <c r="N175" s="373"/>
      <c r="O175" s="345"/>
      <c r="P175" s="279"/>
      <c r="Q175" s="347">
        <f t="shared" si="7"/>
        <v>0</v>
      </c>
      <c r="R175" s="279"/>
      <c r="S175" s="279"/>
      <c r="T175" s="279"/>
      <c r="U175" s="279"/>
      <c r="V175" s="279"/>
      <c r="W175" s="279"/>
      <c r="X175" s="279"/>
      <c r="Y175" s="279"/>
    </row>
    <row r="176" s="103" customFormat="1" ht="25.35" customHeight="1" spans="1:25">
      <c r="A176" s="362"/>
      <c r="B176" s="363"/>
      <c r="C176" s="364"/>
      <c r="D176" s="365"/>
      <c r="E176" s="366" t="str">
        <f>IF(D176="","",VLOOKUP(D176,'[4]Account Code'!$A$3:$D$273,2,0))</f>
        <v/>
      </c>
      <c r="F176" s="367"/>
      <c r="G176" s="368"/>
      <c r="H176" s="368"/>
      <c r="I176" s="369">
        <f>IFERROR(VLOOKUP(O176,[4]CREDITORS!A:B,2,0),"")</f>
        <v>0</v>
      </c>
      <c r="J176" s="370"/>
      <c r="K176" s="370"/>
      <c r="L176" s="371">
        <f t="shared" si="6"/>
        <v>22220976.69</v>
      </c>
      <c r="M176" s="372"/>
      <c r="N176" s="373"/>
      <c r="O176" s="345"/>
      <c r="P176" s="279"/>
      <c r="Q176" s="347">
        <f t="shared" si="7"/>
        <v>0</v>
      </c>
      <c r="R176" s="279"/>
      <c r="S176" s="279"/>
      <c r="T176" s="279"/>
      <c r="U176" s="279"/>
      <c r="V176" s="279"/>
      <c r="W176" s="279"/>
      <c r="X176" s="279"/>
      <c r="Y176" s="279"/>
    </row>
    <row r="177" s="103" customFormat="1" ht="25.35" customHeight="1" spans="1:25">
      <c r="A177" s="362"/>
      <c r="B177" s="363"/>
      <c r="C177" s="364"/>
      <c r="D177" s="365"/>
      <c r="E177" s="366" t="str">
        <f>IF(D177="","",VLOOKUP(D177,'[4]Account Code'!$A$3:$D$273,2,0))</f>
        <v/>
      </c>
      <c r="F177" s="367"/>
      <c r="G177" s="368"/>
      <c r="H177" s="368"/>
      <c r="I177" s="369">
        <f>IFERROR(VLOOKUP(O177,[4]CREDITORS!A:B,2,0),"")</f>
        <v>0</v>
      </c>
      <c r="J177" s="370"/>
      <c r="K177" s="370"/>
      <c r="L177" s="371">
        <f t="shared" si="6"/>
        <v>22220976.69</v>
      </c>
      <c r="M177" s="372"/>
      <c r="N177" s="373"/>
      <c r="O177" s="345"/>
      <c r="P177" s="279"/>
      <c r="Q177" s="347">
        <f t="shared" si="7"/>
        <v>0</v>
      </c>
      <c r="R177" s="279"/>
      <c r="S177" s="279"/>
      <c r="T177" s="279"/>
      <c r="U177" s="279"/>
      <c r="V177" s="279"/>
      <c r="W177" s="279"/>
      <c r="X177" s="279"/>
      <c r="Y177" s="279"/>
    </row>
    <row r="178" s="103" customFormat="1" ht="25.35" customHeight="1" spans="1:25">
      <c r="A178" s="362"/>
      <c r="B178" s="363"/>
      <c r="C178" s="364"/>
      <c r="D178" s="365"/>
      <c r="E178" s="366" t="str">
        <f>IF(D178="","",VLOOKUP(D178,'[4]Account Code'!$A$3:$D$273,2,0))</f>
        <v/>
      </c>
      <c r="F178" s="367"/>
      <c r="G178" s="368"/>
      <c r="H178" s="368"/>
      <c r="I178" s="369">
        <f>IFERROR(VLOOKUP(O178,[4]CREDITORS!A:B,2,0),"")</f>
        <v>0</v>
      </c>
      <c r="J178" s="370"/>
      <c r="K178" s="370"/>
      <c r="L178" s="371">
        <f t="shared" si="6"/>
        <v>22220976.69</v>
      </c>
      <c r="M178" s="372"/>
      <c r="N178" s="373"/>
      <c r="O178" s="345"/>
      <c r="P178" s="279"/>
      <c r="Q178" s="347">
        <f t="shared" si="7"/>
        <v>0</v>
      </c>
      <c r="R178" s="279"/>
      <c r="S178" s="279"/>
      <c r="T178" s="279"/>
      <c r="U178" s="279"/>
      <c r="V178" s="279"/>
      <c r="W178" s="279"/>
      <c r="X178" s="279"/>
      <c r="Y178" s="279"/>
    </row>
    <row r="179" s="103" customFormat="1" ht="21.75" customHeight="1" spans="1:25">
      <c r="A179" s="362"/>
      <c r="B179" s="363"/>
      <c r="C179" s="364"/>
      <c r="D179" s="365"/>
      <c r="E179" s="366" t="str">
        <f>IF(D179="","",VLOOKUP(D179,'[4]Account Code'!$A$3:$D$273,2,0))</f>
        <v/>
      </c>
      <c r="F179" s="367"/>
      <c r="G179" s="368"/>
      <c r="H179" s="368"/>
      <c r="I179" s="369">
        <f>IFERROR(VLOOKUP(O179,[4]CREDITORS!A:B,2,0),"")</f>
        <v>0</v>
      </c>
      <c r="J179" s="370"/>
      <c r="K179" s="370"/>
      <c r="L179" s="371">
        <f t="shared" si="6"/>
        <v>22220976.69</v>
      </c>
      <c r="M179" s="372"/>
      <c r="N179" s="373"/>
      <c r="O179" s="345"/>
      <c r="P179" s="279"/>
      <c r="Q179" s="347">
        <f t="shared" si="7"/>
        <v>0</v>
      </c>
      <c r="R179" s="279"/>
      <c r="S179" s="279"/>
      <c r="T179" s="279"/>
      <c r="U179" s="279"/>
      <c r="V179" s="279"/>
      <c r="W179" s="279"/>
      <c r="X179" s="279"/>
      <c r="Y179" s="279"/>
    </row>
    <row r="180" s="103" customFormat="1" ht="25.35" customHeight="1" spans="1:25">
      <c r="A180" s="362"/>
      <c r="B180" s="363"/>
      <c r="C180" s="364"/>
      <c r="D180" s="365"/>
      <c r="E180" s="366" t="str">
        <f>IF(D180="","",VLOOKUP(D180,'[4]Account Code'!$A$3:$D$273,2,0))</f>
        <v/>
      </c>
      <c r="F180" s="367"/>
      <c r="G180" s="368"/>
      <c r="H180" s="368"/>
      <c r="I180" s="369">
        <f>IFERROR(VLOOKUP(O180,[4]CREDITORS!A:B,2,0),"")</f>
        <v>0</v>
      </c>
      <c r="J180" s="370"/>
      <c r="K180" s="370"/>
      <c r="L180" s="371">
        <f t="shared" si="6"/>
        <v>22220976.69</v>
      </c>
      <c r="M180" s="372"/>
      <c r="N180" s="373"/>
      <c r="O180" s="345"/>
      <c r="P180" s="279"/>
      <c r="Q180" s="347">
        <f t="shared" si="7"/>
        <v>0</v>
      </c>
      <c r="R180" s="279"/>
      <c r="S180" s="279"/>
      <c r="T180" s="279"/>
      <c r="U180" s="279"/>
      <c r="V180" s="279"/>
      <c r="W180" s="279"/>
      <c r="X180" s="279"/>
      <c r="Y180" s="279"/>
    </row>
    <row r="181" s="103" customFormat="1" ht="25.35" customHeight="1" spans="1:25">
      <c r="A181" s="362"/>
      <c r="B181" s="363"/>
      <c r="C181" s="364"/>
      <c r="D181" s="365"/>
      <c r="E181" s="366" t="str">
        <f>IF(D181="","",VLOOKUP(D181,'[4]Account Code'!$A$3:$D$273,2,0))</f>
        <v/>
      </c>
      <c r="F181" s="367"/>
      <c r="G181" s="368"/>
      <c r="H181" s="368"/>
      <c r="I181" s="369">
        <f>IFERROR(VLOOKUP(O181,[4]CREDITORS!A:B,2,0),"")</f>
        <v>0</v>
      </c>
      <c r="J181" s="381"/>
      <c r="K181" s="381"/>
      <c r="L181" s="371">
        <f t="shared" si="6"/>
        <v>22220976.69</v>
      </c>
      <c r="M181" s="372"/>
      <c r="N181" s="373"/>
      <c r="O181" s="345"/>
      <c r="P181" s="279"/>
      <c r="Q181" s="347">
        <f t="shared" si="7"/>
        <v>0</v>
      </c>
      <c r="R181" s="279"/>
      <c r="S181" s="279"/>
      <c r="T181" s="279"/>
      <c r="U181" s="279"/>
      <c r="V181" s="279"/>
      <c r="W181" s="279"/>
      <c r="X181" s="279"/>
      <c r="Y181" s="279"/>
    </row>
    <row r="182" s="103" customFormat="1" ht="25.35" customHeight="1" spans="1:25">
      <c r="A182" s="362"/>
      <c r="B182" s="363"/>
      <c r="C182" s="364"/>
      <c r="D182" s="365"/>
      <c r="E182" s="366" t="str">
        <f>IF(D182="","",VLOOKUP(D182,'[4]Account Code'!$A$3:$D$273,2,0))</f>
        <v/>
      </c>
      <c r="F182" s="367"/>
      <c r="G182" s="368"/>
      <c r="H182" s="368"/>
      <c r="I182" s="369">
        <f>IFERROR(VLOOKUP(O182,[4]CREDITORS!A:B,2,0),"")</f>
        <v>0</v>
      </c>
      <c r="J182" s="370"/>
      <c r="K182" s="370"/>
      <c r="L182" s="371">
        <f t="shared" si="6"/>
        <v>22220976.69</v>
      </c>
      <c r="M182" s="372"/>
      <c r="N182" s="373"/>
      <c r="O182" s="345"/>
      <c r="P182" s="279"/>
      <c r="Q182" s="347">
        <f t="shared" si="7"/>
        <v>0</v>
      </c>
      <c r="R182" s="279"/>
      <c r="S182" s="279"/>
      <c r="T182" s="279"/>
      <c r="U182" s="279"/>
      <c r="V182" s="279"/>
      <c r="W182" s="279"/>
      <c r="X182" s="279"/>
      <c r="Y182" s="279"/>
    </row>
    <row r="183" s="103" customFormat="1" ht="25.35" customHeight="1" spans="1:25">
      <c r="A183" s="362"/>
      <c r="B183" s="363"/>
      <c r="C183" s="364"/>
      <c r="D183" s="365"/>
      <c r="E183" s="366" t="str">
        <f>IF(D183="","",VLOOKUP(D183,'[4]Account Code'!$A$3:$D$273,2,0))</f>
        <v/>
      </c>
      <c r="F183" s="367"/>
      <c r="G183" s="368"/>
      <c r="H183" s="368"/>
      <c r="I183" s="369">
        <f>IFERROR(VLOOKUP(O183,[4]CREDITORS!A:B,2,0),"")</f>
        <v>0</v>
      </c>
      <c r="J183" s="370"/>
      <c r="K183" s="370"/>
      <c r="L183" s="371">
        <f t="shared" si="6"/>
        <v>22220976.69</v>
      </c>
      <c r="M183" s="372"/>
      <c r="N183" s="373"/>
      <c r="O183" s="345"/>
      <c r="P183" s="279"/>
      <c r="Q183" s="347">
        <f t="shared" si="7"/>
        <v>0</v>
      </c>
      <c r="R183" s="279"/>
      <c r="S183" s="279"/>
      <c r="T183" s="279"/>
      <c r="U183" s="279"/>
      <c r="V183" s="279"/>
      <c r="W183" s="279"/>
      <c r="X183" s="279"/>
      <c r="Y183" s="279"/>
    </row>
    <row r="184" s="103" customFormat="1" ht="24.75" customHeight="1" spans="1:25">
      <c r="A184" s="362"/>
      <c r="B184" s="363"/>
      <c r="C184" s="364"/>
      <c r="D184" s="365"/>
      <c r="E184" s="366" t="str">
        <f>IF(D184="","",VLOOKUP(D184,'[4]Account Code'!$A$3:$D$273,2,0))</f>
        <v/>
      </c>
      <c r="F184" s="367"/>
      <c r="G184" s="368"/>
      <c r="H184" s="368"/>
      <c r="I184" s="369">
        <f>IFERROR(VLOOKUP(O184,[4]CREDITORS!A:B,2,0),"")</f>
        <v>0</v>
      </c>
      <c r="J184" s="370"/>
      <c r="K184" s="370"/>
      <c r="L184" s="371">
        <f t="shared" si="6"/>
        <v>22220976.69</v>
      </c>
      <c r="M184" s="372"/>
      <c r="N184" s="373"/>
      <c r="O184" s="345"/>
      <c r="P184" s="113"/>
      <c r="Q184" s="347">
        <f t="shared" si="7"/>
        <v>0</v>
      </c>
      <c r="R184" s="279"/>
      <c r="S184" s="279"/>
      <c r="T184" s="279"/>
      <c r="U184" s="279"/>
      <c r="V184" s="279"/>
      <c r="W184" s="279"/>
      <c r="X184" s="279"/>
      <c r="Y184" s="279"/>
    </row>
    <row r="185" s="103" customFormat="1" ht="24.75" customHeight="1" spans="1:25">
      <c r="A185" s="362"/>
      <c r="B185" s="363"/>
      <c r="C185" s="364"/>
      <c r="D185" s="365"/>
      <c r="E185" s="366" t="str">
        <f>IF(D185="","",VLOOKUP(D185,'[4]Account Code'!$A$3:$D$273,2,0))</f>
        <v/>
      </c>
      <c r="F185" s="367"/>
      <c r="G185" s="368"/>
      <c r="H185" s="368"/>
      <c r="I185" s="369">
        <f>IFERROR(VLOOKUP(O185,[4]CREDITORS!A:B,2,0),"")</f>
        <v>0</v>
      </c>
      <c r="J185" s="370"/>
      <c r="K185" s="370"/>
      <c r="L185" s="371">
        <f t="shared" si="6"/>
        <v>22220976.69</v>
      </c>
      <c r="M185" s="372"/>
      <c r="N185" s="373"/>
      <c r="O185" s="345"/>
      <c r="P185" s="113"/>
      <c r="Q185" s="347">
        <f t="shared" si="7"/>
        <v>0</v>
      </c>
      <c r="R185" s="279"/>
      <c r="S185" s="279"/>
      <c r="T185" s="279"/>
      <c r="U185" s="279"/>
      <c r="V185" s="279"/>
      <c r="W185" s="279"/>
      <c r="X185" s="279"/>
      <c r="Y185" s="279"/>
    </row>
    <row r="186" s="103" customFormat="1" ht="24.75" customHeight="1" spans="1:25">
      <c r="A186" s="362"/>
      <c r="B186" s="363"/>
      <c r="C186" s="364"/>
      <c r="D186" s="365"/>
      <c r="E186" s="366" t="str">
        <f>IF(D186="","",VLOOKUP(D186,'[4]Account Code'!$A$3:$D$273,2,0))</f>
        <v/>
      </c>
      <c r="F186" s="367"/>
      <c r="G186" s="368"/>
      <c r="H186" s="368"/>
      <c r="I186" s="369">
        <f>IFERROR(VLOOKUP(O186,[4]CREDITORS!A:B,2,0),"")</f>
        <v>0</v>
      </c>
      <c r="J186" s="370"/>
      <c r="K186" s="370"/>
      <c r="L186" s="371">
        <f t="shared" si="6"/>
        <v>22220976.69</v>
      </c>
      <c r="M186" s="372"/>
      <c r="N186" s="373"/>
      <c r="O186" s="345"/>
      <c r="P186" s="113"/>
      <c r="Q186" s="347">
        <f t="shared" si="7"/>
        <v>0</v>
      </c>
      <c r="R186" s="279"/>
      <c r="S186" s="279"/>
      <c r="T186" s="279"/>
      <c r="U186" s="279"/>
      <c r="V186" s="279"/>
      <c r="W186" s="279"/>
      <c r="X186" s="279"/>
      <c r="Y186" s="279"/>
    </row>
    <row r="187" s="103" customFormat="1" ht="24.75" customHeight="1" spans="1:25">
      <c r="A187" s="362"/>
      <c r="B187" s="363"/>
      <c r="C187" s="364"/>
      <c r="D187" s="365"/>
      <c r="E187" s="366" t="str">
        <f>IF(D187="","",VLOOKUP(D187,'[4]Account Code'!$A$3:$D$273,2,0))</f>
        <v/>
      </c>
      <c r="F187" s="367"/>
      <c r="G187" s="368"/>
      <c r="H187" s="368"/>
      <c r="I187" s="369">
        <f>IFERROR(VLOOKUP(O187,[4]CREDITORS!A:B,2,0),"")</f>
        <v>0</v>
      </c>
      <c r="J187" s="370"/>
      <c r="K187" s="370"/>
      <c r="L187" s="371">
        <f t="shared" si="6"/>
        <v>22220976.69</v>
      </c>
      <c r="M187" s="372"/>
      <c r="N187" s="373"/>
      <c r="O187" s="345"/>
      <c r="P187" s="113"/>
      <c r="Q187" s="347">
        <f t="shared" si="7"/>
        <v>0</v>
      </c>
      <c r="R187" s="279"/>
      <c r="S187" s="279"/>
      <c r="T187" s="279"/>
      <c r="U187" s="279"/>
      <c r="V187" s="279"/>
      <c r="W187" s="279"/>
      <c r="X187" s="279"/>
      <c r="Y187" s="279"/>
    </row>
    <row r="188" s="103" customFormat="1" ht="24.75" customHeight="1" spans="1:25">
      <c r="A188" s="362"/>
      <c r="B188" s="363"/>
      <c r="C188" s="364"/>
      <c r="D188" s="365"/>
      <c r="E188" s="375" t="str">
        <f>IF(D188="","",VLOOKUP(D188,'[4]Account Code'!$A$3:$D$273,2,0))</f>
        <v/>
      </c>
      <c r="F188" s="367"/>
      <c r="G188" s="368"/>
      <c r="H188" s="368"/>
      <c r="I188" s="369">
        <f>IFERROR(VLOOKUP(O188,[4]CREDITORS!A:B,2,0),"")</f>
        <v>0</v>
      </c>
      <c r="J188" s="370"/>
      <c r="K188" s="370"/>
      <c r="L188" s="371">
        <f t="shared" si="6"/>
        <v>22220976.69</v>
      </c>
      <c r="M188" s="376"/>
      <c r="N188" s="373"/>
      <c r="O188" s="345"/>
      <c r="P188" s="113"/>
      <c r="Q188" s="347">
        <f t="shared" si="7"/>
        <v>0</v>
      </c>
      <c r="R188" s="279"/>
      <c r="S188" s="279"/>
      <c r="T188" s="279"/>
      <c r="U188" s="279"/>
      <c r="V188" s="279"/>
      <c r="W188" s="279"/>
      <c r="X188" s="279"/>
      <c r="Y188" s="279"/>
    </row>
    <row r="189" s="103" customFormat="1" ht="24.75" customHeight="1" spans="1:25">
      <c r="A189" s="362"/>
      <c r="B189" s="363"/>
      <c r="C189" s="364"/>
      <c r="D189" s="365"/>
      <c r="E189" s="375" t="str">
        <f>IF(D189="","",VLOOKUP(D189,'[4]Account Code'!$A$3:$D$273,2,0))</f>
        <v/>
      </c>
      <c r="F189" s="367"/>
      <c r="G189" s="368"/>
      <c r="H189" s="368"/>
      <c r="I189" s="369">
        <f>IFERROR(VLOOKUP(O189,[4]CREDITORS!A:B,2,0),"")</f>
        <v>0</v>
      </c>
      <c r="J189" s="370"/>
      <c r="K189" s="370"/>
      <c r="L189" s="371">
        <f t="shared" si="6"/>
        <v>22220976.69</v>
      </c>
      <c r="M189" s="376"/>
      <c r="N189" s="373"/>
      <c r="O189" s="345"/>
      <c r="P189" s="113"/>
      <c r="Q189" s="347">
        <f t="shared" si="7"/>
        <v>0</v>
      </c>
      <c r="R189" s="279"/>
      <c r="S189" s="279"/>
      <c r="T189" s="279"/>
      <c r="U189" s="279"/>
      <c r="V189" s="279"/>
      <c r="W189" s="279"/>
      <c r="X189" s="279"/>
      <c r="Y189" s="279"/>
    </row>
    <row r="190" s="103" customFormat="1" ht="24.75" customHeight="1" spans="1:25">
      <c r="A190" s="362"/>
      <c r="B190" s="363"/>
      <c r="C190" s="364"/>
      <c r="D190" s="365"/>
      <c r="E190" s="375" t="str">
        <f>IF(D190="","",VLOOKUP(D190,'[4]Account Code'!$A$3:$D$273,2,0))</f>
        <v/>
      </c>
      <c r="F190" s="367"/>
      <c r="G190" s="368"/>
      <c r="H190" s="368"/>
      <c r="I190" s="369">
        <f>IFERROR(VLOOKUP(O190,[4]CREDITORS!A:B,2,0),"")</f>
        <v>0</v>
      </c>
      <c r="J190" s="370"/>
      <c r="K190" s="370"/>
      <c r="L190" s="371">
        <f t="shared" si="6"/>
        <v>22220976.69</v>
      </c>
      <c r="M190" s="376"/>
      <c r="N190" s="373"/>
      <c r="O190" s="345"/>
      <c r="P190" s="113"/>
      <c r="Q190" s="347">
        <f t="shared" si="7"/>
        <v>0</v>
      </c>
      <c r="R190" s="279"/>
      <c r="S190" s="279"/>
      <c r="T190" s="279"/>
      <c r="U190" s="279"/>
      <c r="V190" s="279"/>
      <c r="W190" s="279"/>
      <c r="X190" s="279"/>
      <c r="Y190" s="279"/>
    </row>
    <row r="191" s="103" customFormat="1" ht="24.75" customHeight="1" spans="1:25">
      <c r="A191" s="362"/>
      <c r="B191" s="363"/>
      <c r="C191" s="364"/>
      <c r="D191" s="365"/>
      <c r="E191" s="375" t="str">
        <f>IF(D191="","",VLOOKUP(D191,'[4]Account Code'!$A$3:$D$273,2,0))</f>
        <v/>
      </c>
      <c r="F191" s="367"/>
      <c r="G191" s="368"/>
      <c r="H191" s="368"/>
      <c r="I191" s="369">
        <f>IFERROR(VLOOKUP(O191,[4]CREDITORS!A:B,2,0),"")</f>
        <v>0</v>
      </c>
      <c r="J191" s="370"/>
      <c r="K191" s="370"/>
      <c r="L191" s="371">
        <f t="shared" si="6"/>
        <v>22220976.69</v>
      </c>
      <c r="M191" s="376"/>
      <c r="N191" s="373"/>
      <c r="O191" s="345"/>
      <c r="P191" s="113"/>
      <c r="Q191" s="347">
        <f t="shared" si="7"/>
        <v>0</v>
      </c>
      <c r="R191" s="279"/>
      <c r="S191" s="279"/>
      <c r="T191" s="279"/>
      <c r="U191" s="279"/>
      <c r="V191" s="279"/>
      <c r="W191" s="279"/>
      <c r="X191" s="279"/>
      <c r="Y191" s="279"/>
    </row>
    <row r="192" s="103" customFormat="1" ht="24.75" customHeight="1" spans="1:25">
      <c r="A192" s="362"/>
      <c r="B192" s="363"/>
      <c r="C192" s="364"/>
      <c r="D192" s="365"/>
      <c r="E192" s="375" t="str">
        <f>IF(D192="","",VLOOKUP(D192,'[4]Account Code'!$A$3:$D$273,2,0))</f>
        <v/>
      </c>
      <c r="F192" s="367"/>
      <c r="G192" s="368"/>
      <c r="H192" s="368"/>
      <c r="I192" s="369">
        <f>IFERROR(VLOOKUP(O192,[4]CREDITORS!A:B,2,0),"")</f>
        <v>0</v>
      </c>
      <c r="J192" s="370"/>
      <c r="K192" s="370"/>
      <c r="L192" s="371">
        <f t="shared" si="6"/>
        <v>22220976.69</v>
      </c>
      <c r="M192" s="376"/>
      <c r="N192" s="373"/>
      <c r="O192" s="345"/>
      <c r="P192" s="113"/>
      <c r="Q192" s="347">
        <f t="shared" si="7"/>
        <v>0</v>
      </c>
      <c r="R192" s="279"/>
      <c r="S192" s="279"/>
      <c r="T192" s="279"/>
      <c r="U192" s="279"/>
      <c r="V192" s="279"/>
      <c r="W192" s="279"/>
      <c r="X192" s="279"/>
      <c r="Y192" s="279"/>
    </row>
    <row r="193" s="103" customFormat="1" ht="24.75" customHeight="1" spans="1:25">
      <c r="A193" s="362"/>
      <c r="B193" s="363"/>
      <c r="C193" s="364"/>
      <c r="D193" s="365"/>
      <c r="E193" s="375" t="str">
        <f>IF(D193="","",VLOOKUP(D193,'[4]Account Code'!$A$3:$D$273,2,0))</f>
        <v/>
      </c>
      <c r="F193" s="367"/>
      <c r="G193" s="368"/>
      <c r="H193" s="368"/>
      <c r="I193" s="369">
        <f>IFERROR(VLOOKUP(O193,[4]CREDITORS!A:B,2,0),"")</f>
        <v>0</v>
      </c>
      <c r="J193" s="370"/>
      <c r="K193" s="370"/>
      <c r="L193" s="371">
        <f t="shared" si="6"/>
        <v>22220976.69</v>
      </c>
      <c r="M193" s="376"/>
      <c r="N193" s="373"/>
      <c r="O193" s="345"/>
      <c r="P193" s="113"/>
      <c r="Q193" s="347">
        <f t="shared" si="7"/>
        <v>0</v>
      </c>
      <c r="R193" s="279"/>
      <c r="S193" s="279"/>
      <c r="T193" s="279"/>
      <c r="U193" s="279"/>
      <c r="V193" s="279"/>
      <c r="W193" s="279"/>
      <c r="X193" s="279"/>
      <c r="Y193" s="279"/>
    </row>
    <row r="194" s="103" customFormat="1" ht="24.75" customHeight="1" spans="1:25">
      <c r="A194" s="362"/>
      <c r="B194" s="363"/>
      <c r="C194" s="364"/>
      <c r="D194" s="365"/>
      <c r="E194" s="375" t="str">
        <f>IF(D194="","",VLOOKUP(D194,'[4]Account Code'!$A$3:$D$273,2,0))</f>
        <v/>
      </c>
      <c r="F194" s="367"/>
      <c r="G194" s="368"/>
      <c r="H194" s="368"/>
      <c r="I194" s="369">
        <f>IFERROR(VLOOKUP(O194,[4]CREDITORS!A:B,2,0),"")</f>
        <v>0</v>
      </c>
      <c r="J194" s="370"/>
      <c r="K194" s="370"/>
      <c r="L194" s="371">
        <f t="shared" si="6"/>
        <v>22220976.69</v>
      </c>
      <c r="M194" s="376"/>
      <c r="N194" s="373"/>
      <c r="O194" s="345"/>
      <c r="P194" s="113"/>
      <c r="Q194" s="347">
        <f t="shared" si="7"/>
        <v>0</v>
      </c>
      <c r="R194" s="279"/>
      <c r="S194" s="279"/>
      <c r="T194" s="279"/>
      <c r="U194" s="279"/>
      <c r="V194" s="279"/>
      <c r="W194" s="279"/>
      <c r="X194" s="279"/>
      <c r="Y194" s="279"/>
    </row>
    <row r="195" s="103" customFormat="1" ht="24.75" customHeight="1" spans="1:25">
      <c r="A195" s="362"/>
      <c r="B195" s="363"/>
      <c r="C195" s="364"/>
      <c r="D195" s="365"/>
      <c r="E195" s="375" t="str">
        <f>IF(D195="","",VLOOKUP(D195,'[4]Account Code'!$A$3:$D$273,2,0))</f>
        <v/>
      </c>
      <c r="F195" s="367"/>
      <c r="G195" s="368"/>
      <c r="H195" s="368"/>
      <c r="I195" s="369">
        <f>IFERROR(VLOOKUP(O195,[4]CREDITORS!A:B,2,0),"")</f>
        <v>0</v>
      </c>
      <c r="J195" s="381"/>
      <c r="K195" s="370"/>
      <c r="L195" s="371">
        <f t="shared" si="6"/>
        <v>22220976.69</v>
      </c>
      <c r="M195" s="376"/>
      <c r="N195" s="373"/>
      <c r="O195" s="345"/>
      <c r="P195" s="113"/>
      <c r="Q195" s="347">
        <f t="shared" si="7"/>
        <v>0</v>
      </c>
      <c r="R195" s="279"/>
      <c r="S195" s="279"/>
      <c r="T195" s="279"/>
      <c r="U195" s="279"/>
      <c r="V195" s="279"/>
      <c r="W195" s="279"/>
      <c r="X195" s="279"/>
      <c r="Y195" s="279"/>
    </row>
    <row r="196" s="103" customFormat="1" ht="24.75" customHeight="1" spans="1:25">
      <c r="A196" s="362"/>
      <c r="B196" s="363"/>
      <c r="C196" s="364"/>
      <c r="D196" s="365"/>
      <c r="E196" s="375" t="str">
        <f>IF(D196="","",VLOOKUP(D196,'[4]Account Code'!$A$3:$D$273,2,0))</f>
        <v/>
      </c>
      <c r="F196" s="367"/>
      <c r="G196" s="368"/>
      <c r="H196" s="368"/>
      <c r="I196" s="369">
        <f>IFERROR(VLOOKUP(O196,[4]CREDITORS!A:B,2,0),"")</f>
        <v>0</v>
      </c>
      <c r="J196" s="370"/>
      <c r="K196" s="370"/>
      <c r="L196" s="371">
        <f t="shared" si="6"/>
        <v>22220976.69</v>
      </c>
      <c r="M196" s="376"/>
      <c r="N196" s="373"/>
      <c r="O196" s="345"/>
      <c r="P196" s="113"/>
      <c r="Q196" s="347">
        <f t="shared" si="7"/>
        <v>0</v>
      </c>
      <c r="R196" s="279"/>
      <c r="S196" s="279"/>
      <c r="T196" s="279"/>
      <c r="U196" s="279"/>
      <c r="V196" s="279"/>
      <c r="W196" s="279"/>
      <c r="X196" s="279"/>
      <c r="Y196" s="279"/>
    </row>
    <row r="197" s="103" customFormat="1" ht="24.75" customHeight="1" spans="1:25">
      <c r="A197" s="362"/>
      <c r="B197" s="363"/>
      <c r="C197" s="364"/>
      <c r="D197" s="365"/>
      <c r="E197" s="375" t="str">
        <f>IF(D197="","",VLOOKUP(D197,'[4]Account Code'!$A$3:$D$273,2,0))</f>
        <v/>
      </c>
      <c r="F197" s="367"/>
      <c r="G197" s="368"/>
      <c r="H197" s="368"/>
      <c r="I197" s="369">
        <f>IFERROR(VLOOKUP(O197,[4]CREDITORS!A:B,2,0),"")</f>
        <v>0</v>
      </c>
      <c r="J197" s="370"/>
      <c r="K197" s="370"/>
      <c r="L197" s="371">
        <f t="shared" si="6"/>
        <v>22220976.69</v>
      </c>
      <c r="M197" s="376"/>
      <c r="N197" s="373"/>
      <c r="O197" s="345"/>
      <c r="P197" s="113"/>
      <c r="Q197" s="347">
        <f t="shared" si="7"/>
        <v>0</v>
      </c>
      <c r="R197" s="279"/>
      <c r="S197" s="279"/>
      <c r="T197" s="279"/>
      <c r="U197" s="279"/>
      <c r="V197" s="279"/>
      <c r="W197" s="279"/>
      <c r="X197" s="279"/>
      <c r="Y197" s="279"/>
    </row>
    <row r="198" s="103" customFormat="1" ht="24.75" customHeight="1" spans="1:25">
      <c r="A198" s="362"/>
      <c r="B198" s="363"/>
      <c r="C198" s="364"/>
      <c r="D198" s="365"/>
      <c r="E198" s="375" t="str">
        <f>IF(D198="","",VLOOKUP(D198,'[4]Account Code'!$A$3:$D$273,2,0))</f>
        <v/>
      </c>
      <c r="F198" s="367"/>
      <c r="G198" s="368"/>
      <c r="H198" s="368"/>
      <c r="I198" s="369">
        <f>IFERROR(VLOOKUP(O198,[4]CREDITORS!A:B,2,0),"")</f>
        <v>0</v>
      </c>
      <c r="J198" s="370"/>
      <c r="K198" s="370"/>
      <c r="L198" s="371">
        <f t="shared" si="6"/>
        <v>22220976.69</v>
      </c>
      <c r="M198" s="376"/>
      <c r="N198" s="373"/>
      <c r="O198" s="345"/>
      <c r="P198" s="113"/>
      <c r="Q198" s="347">
        <f t="shared" si="7"/>
        <v>0</v>
      </c>
      <c r="R198" s="279"/>
      <c r="S198" s="279"/>
      <c r="T198" s="279"/>
      <c r="U198" s="279"/>
      <c r="V198" s="279"/>
      <c r="W198" s="279"/>
      <c r="X198" s="279"/>
      <c r="Y198" s="279"/>
    </row>
    <row r="199" s="103" customFormat="1" ht="24.75" customHeight="1" spans="1:25">
      <c r="A199" s="362"/>
      <c r="B199" s="363"/>
      <c r="C199" s="364"/>
      <c r="D199" s="365"/>
      <c r="E199" s="375" t="str">
        <f>IF(D199="","",VLOOKUP(D199,'[4]Account Code'!$A$3:$D$273,2,0))</f>
        <v/>
      </c>
      <c r="F199" s="367"/>
      <c r="G199" s="368"/>
      <c r="H199" s="368"/>
      <c r="I199" s="369">
        <f>IFERROR(VLOOKUP(O199,[4]CREDITORS!A:B,2,0),"")</f>
        <v>0</v>
      </c>
      <c r="J199" s="370"/>
      <c r="K199" s="370"/>
      <c r="L199" s="371">
        <f t="shared" si="6"/>
        <v>22220976.69</v>
      </c>
      <c r="M199" s="376"/>
      <c r="N199" s="373"/>
      <c r="O199" s="345"/>
      <c r="P199" s="113"/>
      <c r="Q199" s="347">
        <f t="shared" si="7"/>
        <v>0</v>
      </c>
      <c r="R199" s="279"/>
      <c r="S199" s="279"/>
      <c r="T199" s="279"/>
      <c r="U199" s="279"/>
      <c r="V199" s="279"/>
      <c r="W199" s="279"/>
      <c r="X199" s="279"/>
      <c r="Y199" s="279"/>
    </row>
    <row r="200" s="103" customFormat="1" ht="24.75" customHeight="1" spans="1:25">
      <c r="A200" s="362"/>
      <c r="B200" s="363"/>
      <c r="C200" s="364"/>
      <c r="D200" s="365"/>
      <c r="E200" s="375" t="str">
        <f>IF(D200="","",VLOOKUP(D200,'[4]Account Code'!$A$3:$D$273,2,0))</f>
        <v/>
      </c>
      <c r="F200" s="367"/>
      <c r="G200" s="368"/>
      <c r="H200" s="368"/>
      <c r="I200" s="369">
        <f>IFERROR(VLOOKUP(O200,[4]CREDITORS!A:B,2,0),"")</f>
        <v>0</v>
      </c>
      <c r="J200" s="370"/>
      <c r="K200" s="370"/>
      <c r="L200" s="371">
        <f t="shared" si="6"/>
        <v>22220976.69</v>
      </c>
      <c r="M200" s="376"/>
      <c r="N200" s="373"/>
      <c r="O200" s="345"/>
      <c r="P200" s="113"/>
      <c r="Q200" s="347">
        <f t="shared" si="7"/>
        <v>0</v>
      </c>
      <c r="R200" s="279"/>
      <c r="S200" s="279"/>
      <c r="T200" s="279"/>
      <c r="U200" s="279"/>
      <c r="V200" s="279"/>
      <c r="W200" s="279"/>
      <c r="X200" s="279"/>
      <c r="Y200" s="279"/>
    </row>
    <row r="201" s="103" customFormat="1" ht="24.75" customHeight="1" spans="1:25">
      <c r="A201" s="362"/>
      <c r="B201" s="363"/>
      <c r="C201" s="364"/>
      <c r="D201" s="365"/>
      <c r="E201" s="375" t="str">
        <f>IF(D201="","",VLOOKUP(D201,'[4]Account Code'!$A$3:$D$273,2,0))</f>
        <v/>
      </c>
      <c r="F201" s="367"/>
      <c r="G201" s="368"/>
      <c r="H201" s="368"/>
      <c r="I201" s="369">
        <f>IFERROR(VLOOKUP(O201,[4]CREDITORS!A:B,2,0),"")</f>
        <v>0</v>
      </c>
      <c r="J201" s="370"/>
      <c r="K201" s="370"/>
      <c r="L201" s="371">
        <f t="shared" si="6"/>
        <v>22220976.69</v>
      </c>
      <c r="M201" s="376"/>
      <c r="N201" s="373"/>
      <c r="O201" s="345"/>
      <c r="P201" s="113"/>
      <c r="Q201" s="347">
        <f t="shared" si="7"/>
        <v>0</v>
      </c>
      <c r="R201" s="279"/>
      <c r="S201" s="279"/>
      <c r="T201" s="279"/>
      <c r="U201" s="279"/>
      <c r="V201" s="279"/>
      <c r="W201" s="279"/>
      <c r="X201" s="279"/>
      <c r="Y201" s="279"/>
    </row>
    <row r="202" s="103" customFormat="1" ht="24.75" customHeight="1" spans="1:25">
      <c r="A202" s="362"/>
      <c r="B202" s="363"/>
      <c r="C202" s="364"/>
      <c r="D202" s="365"/>
      <c r="E202" s="375" t="str">
        <f>IF(D202="","",VLOOKUP(D202,'[4]Account Code'!$A$3:$D$273,2,0))</f>
        <v/>
      </c>
      <c r="F202" s="367"/>
      <c r="G202" s="368"/>
      <c r="H202" s="382"/>
      <c r="I202" s="369">
        <f>IFERROR(VLOOKUP(O202,[4]CREDITORS!A:B,2,0),"")</f>
        <v>0</v>
      </c>
      <c r="J202" s="370"/>
      <c r="K202" s="370"/>
      <c r="L202" s="371">
        <f t="shared" si="6"/>
        <v>22220976.69</v>
      </c>
      <c r="M202" s="376"/>
      <c r="N202" s="373"/>
      <c r="O202" s="345"/>
      <c r="P202" s="113"/>
      <c r="Q202" s="347">
        <f t="shared" si="7"/>
        <v>0</v>
      </c>
      <c r="R202" s="279"/>
      <c r="S202" s="279"/>
      <c r="T202" s="279"/>
      <c r="U202" s="279"/>
      <c r="V202" s="279"/>
      <c r="W202" s="279"/>
      <c r="X202" s="279"/>
      <c r="Y202" s="279"/>
    </row>
    <row r="203" s="103" customFormat="1" ht="24.75" customHeight="1" spans="1:25">
      <c r="A203" s="362"/>
      <c r="B203" s="363"/>
      <c r="C203" s="364"/>
      <c r="D203" s="365"/>
      <c r="E203" s="375" t="str">
        <f>IF(D203="","",VLOOKUP(D203,'[4]Account Code'!$A$3:$D$273,2,0))</f>
        <v/>
      </c>
      <c r="F203" s="367"/>
      <c r="G203" s="368"/>
      <c r="H203" s="368"/>
      <c r="I203" s="369">
        <f>IFERROR(VLOOKUP(O203,[4]CREDITORS!A:B,2,0),"")</f>
        <v>0</v>
      </c>
      <c r="J203" s="370"/>
      <c r="K203" s="370"/>
      <c r="L203" s="371">
        <f t="shared" si="6"/>
        <v>22220976.69</v>
      </c>
      <c r="M203" s="376"/>
      <c r="N203" s="373"/>
      <c r="O203" s="345"/>
      <c r="P203" s="113"/>
      <c r="Q203" s="347">
        <f t="shared" si="7"/>
        <v>0</v>
      </c>
      <c r="R203" s="279"/>
      <c r="S203" s="279"/>
      <c r="T203" s="279"/>
      <c r="U203" s="279"/>
      <c r="V203" s="279"/>
      <c r="W203" s="279"/>
      <c r="X203" s="279"/>
      <c r="Y203" s="279"/>
    </row>
    <row r="204" s="103" customFormat="1" ht="24.75" customHeight="1" spans="1:25">
      <c r="A204" s="362"/>
      <c r="B204" s="363"/>
      <c r="C204" s="364"/>
      <c r="D204" s="365"/>
      <c r="E204" s="375" t="str">
        <f>IF(D204="","",VLOOKUP(D204,'[4]Account Code'!$A$3:$D$273,2,0))</f>
        <v/>
      </c>
      <c r="F204" s="367"/>
      <c r="G204" s="368"/>
      <c r="H204" s="368"/>
      <c r="I204" s="369">
        <f>IFERROR(VLOOKUP(O204,[4]CREDITORS!A:B,2,0),"")</f>
        <v>0</v>
      </c>
      <c r="J204" s="370"/>
      <c r="K204" s="370"/>
      <c r="L204" s="371">
        <f t="shared" ref="L204:L267" si="8">L203+J204-K204</f>
        <v>22220976.69</v>
      </c>
      <c r="M204" s="376"/>
      <c r="N204" s="373"/>
      <c r="O204" s="345"/>
      <c r="P204" s="113"/>
      <c r="Q204" s="347">
        <f t="shared" si="7"/>
        <v>0</v>
      </c>
      <c r="R204" s="279"/>
      <c r="S204" s="279"/>
      <c r="T204" s="279"/>
      <c r="U204" s="279"/>
      <c r="V204" s="279"/>
      <c r="W204" s="279"/>
      <c r="X204" s="279"/>
      <c r="Y204" s="279"/>
    </row>
    <row r="205" s="103" customFormat="1" ht="24.75" customHeight="1" spans="1:25">
      <c r="A205" s="362"/>
      <c r="B205" s="363"/>
      <c r="C205" s="364"/>
      <c r="D205" s="365"/>
      <c r="E205" s="375" t="str">
        <f>IF(D205="","",VLOOKUP(D205,'[4]Account Code'!$A$3:$D$273,2,0))</f>
        <v/>
      </c>
      <c r="F205" s="367"/>
      <c r="G205" s="368"/>
      <c r="H205" s="368"/>
      <c r="I205" s="369">
        <f>IFERROR(VLOOKUP(O205,[4]CREDITORS!A:B,2,0),"")</f>
        <v>0</v>
      </c>
      <c r="J205" s="370"/>
      <c r="K205" s="370"/>
      <c r="L205" s="371">
        <f t="shared" si="8"/>
        <v>22220976.69</v>
      </c>
      <c r="M205" s="376"/>
      <c r="N205" s="373"/>
      <c r="O205" s="345"/>
      <c r="P205" s="113"/>
      <c r="Q205" s="347">
        <f t="shared" si="7"/>
        <v>0</v>
      </c>
      <c r="R205" s="279"/>
      <c r="S205" s="279"/>
      <c r="T205" s="279"/>
      <c r="U205" s="279"/>
      <c r="V205" s="279"/>
      <c r="W205" s="279"/>
      <c r="X205" s="279"/>
      <c r="Y205" s="279"/>
    </row>
    <row r="206" s="103" customFormat="1" ht="24.75" customHeight="1" spans="1:25">
      <c r="A206" s="362"/>
      <c r="B206" s="363"/>
      <c r="C206" s="364"/>
      <c r="D206" s="365"/>
      <c r="E206" s="375" t="str">
        <f>IF(D206="","",VLOOKUP(D206,'[4]Account Code'!$A$3:$D$273,2,0))</f>
        <v/>
      </c>
      <c r="F206" s="367"/>
      <c r="G206" s="368"/>
      <c r="H206" s="368"/>
      <c r="I206" s="369">
        <f>IFERROR(VLOOKUP(O206,[4]CREDITORS!A:B,2,0),"")</f>
        <v>0</v>
      </c>
      <c r="J206" s="370"/>
      <c r="K206" s="370"/>
      <c r="L206" s="371">
        <f t="shared" si="8"/>
        <v>22220976.69</v>
      </c>
      <c r="M206" s="376"/>
      <c r="N206" s="373"/>
      <c r="O206" s="345"/>
      <c r="P206" s="113"/>
      <c r="Q206" s="347">
        <f t="shared" si="7"/>
        <v>0</v>
      </c>
      <c r="R206" s="279"/>
      <c r="S206" s="279"/>
      <c r="T206" s="279"/>
      <c r="U206" s="279"/>
      <c r="V206" s="279"/>
      <c r="W206" s="279"/>
      <c r="X206" s="279"/>
      <c r="Y206" s="279"/>
    </row>
    <row r="207" s="103" customFormat="1" ht="24.75" customHeight="1" spans="1:25">
      <c r="A207" s="362"/>
      <c r="B207" s="363"/>
      <c r="C207" s="364"/>
      <c r="D207" s="365"/>
      <c r="E207" s="375" t="str">
        <f>IF(D207="","",VLOOKUP(D207,'[4]Account Code'!$A$3:$D$273,2,0))</f>
        <v/>
      </c>
      <c r="F207" s="367"/>
      <c r="G207" s="368"/>
      <c r="H207" s="368"/>
      <c r="I207" s="369">
        <f>IFERROR(VLOOKUP(O207,[4]CREDITORS!A:B,2,0),"")</f>
        <v>0</v>
      </c>
      <c r="J207" s="370"/>
      <c r="K207" s="370"/>
      <c r="L207" s="371">
        <f t="shared" si="8"/>
        <v>22220976.69</v>
      </c>
      <c r="M207" s="376"/>
      <c r="N207" s="373"/>
      <c r="O207" s="345"/>
      <c r="P207" s="113"/>
      <c r="Q207" s="347">
        <f t="shared" si="7"/>
        <v>0</v>
      </c>
      <c r="R207" s="279"/>
      <c r="S207" s="279"/>
      <c r="T207" s="279"/>
      <c r="U207" s="279"/>
      <c r="V207" s="279"/>
      <c r="W207" s="279"/>
      <c r="X207" s="279"/>
      <c r="Y207" s="279"/>
    </row>
    <row r="208" s="103" customFormat="1" ht="24.75" customHeight="1" spans="1:25">
      <c r="A208" s="362"/>
      <c r="B208" s="363"/>
      <c r="C208" s="364"/>
      <c r="D208" s="365"/>
      <c r="E208" s="375" t="str">
        <f>IF(D208="","",VLOOKUP(D208,'[4]Account Code'!$A$3:$D$273,2,0))</f>
        <v/>
      </c>
      <c r="F208" s="367"/>
      <c r="G208" s="368"/>
      <c r="H208" s="368"/>
      <c r="I208" s="369">
        <f>IFERROR(VLOOKUP(O208,[4]CREDITORS!A:B,2,0),"")</f>
        <v>0</v>
      </c>
      <c r="J208" s="370"/>
      <c r="K208" s="370"/>
      <c r="L208" s="371">
        <f t="shared" si="8"/>
        <v>22220976.69</v>
      </c>
      <c r="M208" s="376"/>
      <c r="N208" s="373"/>
      <c r="O208" s="345"/>
      <c r="P208" s="113"/>
      <c r="Q208" s="347">
        <f t="shared" si="7"/>
        <v>0</v>
      </c>
      <c r="R208" s="279"/>
      <c r="S208" s="279"/>
      <c r="T208" s="279"/>
      <c r="U208" s="279"/>
      <c r="V208" s="279"/>
      <c r="W208" s="279"/>
      <c r="X208" s="279"/>
      <c r="Y208" s="279"/>
    </row>
    <row r="209" s="103" customFormat="1" ht="24.75" customHeight="1" spans="1:25">
      <c r="A209" s="362"/>
      <c r="B209" s="363"/>
      <c r="C209" s="364"/>
      <c r="D209" s="365"/>
      <c r="E209" s="375" t="str">
        <f>IF(D209="","",VLOOKUP(D209,'[4]Account Code'!$A$3:$D$273,2,0))</f>
        <v/>
      </c>
      <c r="F209" s="367"/>
      <c r="G209" s="368"/>
      <c r="H209" s="368"/>
      <c r="I209" s="369">
        <f>IFERROR(VLOOKUP(O209,[4]CREDITORS!A:B,2,0),"")</f>
        <v>0</v>
      </c>
      <c r="J209" s="370"/>
      <c r="K209" s="370"/>
      <c r="L209" s="371">
        <f t="shared" si="8"/>
        <v>22220976.69</v>
      </c>
      <c r="M209" s="376"/>
      <c r="N209" s="373"/>
      <c r="O209" s="345"/>
      <c r="P209" s="113"/>
      <c r="Q209" s="347">
        <f t="shared" si="7"/>
        <v>0</v>
      </c>
      <c r="R209" s="279"/>
      <c r="S209" s="279"/>
      <c r="T209" s="279"/>
      <c r="U209" s="279"/>
      <c r="V209" s="279"/>
      <c r="W209" s="279"/>
      <c r="X209" s="279"/>
      <c r="Y209" s="279"/>
    </row>
    <row r="210" s="103" customFormat="1" ht="24.75" customHeight="1" spans="1:25">
      <c r="A210" s="362"/>
      <c r="B210" s="363"/>
      <c r="C210" s="364"/>
      <c r="D210" s="365"/>
      <c r="E210" s="375" t="str">
        <f>IF(D210="","",VLOOKUP(D210,'[4]Account Code'!$A$3:$D$273,2,0))</f>
        <v/>
      </c>
      <c r="F210" s="367"/>
      <c r="G210" s="368"/>
      <c r="H210" s="368"/>
      <c r="I210" s="369">
        <f>IFERROR(VLOOKUP(O210,[4]CREDITORS!A:B,2,0),"")</f>
        <v>0</v>
      </c>
      <c r="J210" s="370"/>
      <c r="K210" s="370"/>
      <c r="L210" s="371">
        <f t="shared" si="8"/>
        <v>22220976.69</v>
      </c>
      <c r="M210" s="376"/>
      <c r="N210" s="373"/>
      <c r="O210" s="345"/>
      <c r="P210" s="113"/>
      <c r="Q210" s="347">
        <f t="shared" si="7"/>
        <v>0</v>
      </c>
      <c r="R210" s="279"/>
      <c r="S210" s="279"/>
      <c r="T210" s="279"/>
      <c r="U210" s="279"/>
      <c r="V210" s="279"/>
      <c r="W210" s="279"/>
      <c r="X210" s="279"/>
      <c r="Y210" s="279"/>
    </row>
    <row r="211" s="103" customFormat="1" ht="24.75" customHeight="1" spans="1:25">
      <c r="A211" s="362"/>
      <c r="B211" s="363"/>
      <c r="C211" s="364"/>
      <c r="D211" s="365"/>
      <c r="E211" s="375" t="str">
        <f>IF(D211="","",VLOOKUP(D211,'[4]Account Code'!$A$3:$D$273,2,0))</f>
        <v/>
      </c>
      <c r="F211" s="367"/>
      <c r="G211" s="368"/>
      <c r="H211" s="368"/>
      <c r="I211" s="369">
        <f>IFERROR(VLOOKUP(O211,[4]CREDITORS!A:B,2,0),"")</f>
        <v>0</v>
      </c>
      <c r="J211" s="370"/>
      <c r="K211" s="370"/>
      <c r="L211" s="371">
        <f t="shared" si="8"/>
        <v>22220976.69</v>
      </c>
      <c r="M211" s="376"/>
      <c r="N211" s="373"/>
      <c r="O211" s="345"/>
      <c r="P211" s="113"/>
      <c r="Q211" s="347">
        <f t="shared" si="7"/>
        <v>0</v>
      </c>
      <c r="R211" s="279"/>
      <c r="S211" s="279"/>
      <c r="T211" s="279"/>
      <c r="U211" s="279"/>
      <c r="V211" s="279"/>
      <c r="W211" s="279"/>
      <c r="X211" s="279"/>
      <c r="Y211" s="279"/>
    </row>
    <row r="212" s="103" customFormat="1" ht="24.75" customHeight="1" spans="1:25">
      <c r="A212" s="362"/>
      <c r="B212" s="363"/>
      <c r="C212" s="364"/>
      <c r="D212" s="365"/>
      <c r="E212" s="375" t="str">
        <f>IF(D212="","",VLOOKUP(D212,'[4]Account Code'!$A$3:$D$273,2,0))</f>
        <v/>
      </c>
      <c r="F212" s="367"/>
      <c r="G212" s="368"/>
      <c r="H212" s="368"/>
      <c r="I212" s="369">
        <f>IFERROR(VLOOKUP(O212,[4]CREDITORS!A:B,2,0),"")</f>
        <v>0</v>
      </c>
      <c r="J212" s="370"/>
      <c r="K212" s="370"/>
      <c r="L212" s="371">
        <f t="shared" si="8"/>
        <v>22220976.69</v>
      </c>
      <c r="M212" s="376"/>
      <c r="N212" s="373"/>
      <c r="O212" s="345"/>
      <c r="P212" s="113"/>
      <c r="Q212" s="347">
        <f t="shared" si="7"/>
        <v>0</v>
      </c>
      <c r="R212" s="279"/>
      <c r="S212" s="279"/>
      <c r="T212" s="279"/>
      <c r="U212" s="279"/>
      <c r="V212" s="279"/>
      <c r="W212" s="279"/>
      <c r="X212" s="279"/>
      <c r="Y212" s="279"/>
    </row>
    <row r="213" s="103" customFormat="1" ht="24.75" customHeight="1" spans="1:25">
      <c r="A213" s="362"/>
      <c r="B213" s="363"/>
      <c r="C213" s="364"/>
      <c r="D213" s="365"/>
      <c r="E213" s="375" t="str">
        <f>IF(D213="","",VLOOKUP(D213,'[4]Account Code'!$A$3:$D$273,2,0))</f>
        <v/>
      </c>
      <c r="F213" s="367"/>
      <c r="G213" s="368"/>
      <c r="H213" s="368"/>
      <c r="I213" s="369">
        <f>IFERROR(VLOOKUP(O213,[4]CREDITORS!A:B,2,0),"")</f>
        <v>0</v>
      </c>
      <c r="J213" s="370"/>
      <c r="K213" s="370"/>
      <c r="L213" s="371">
        <f t="shared" si="8"/>
        <v>22220976.69</v>
      </c>
      <c r="M213" s="376"/>
      <c r="N213" s="373"/>
      <c r="O213" s="345"/>
      <c r="P213" s="113"/>
      <c r="Q213" s="347">
        <f t="shared" si="7"/>
        <v>0</v>
      </c>
      <c r="R213" s="279"/>
      <c r="S213" s="279"/>
      <c r="T213" s="279"/>
      <c r="U213" s="279"/>
      <c r="V213" s="279"/>
      <c r="W213" s="279"/>
      <c r="X213" s="279"/>
      <c r="Y213" s="279"/>
    </row>
    <row r="214" s="103" customFormat="1" ht="24.75" customHeight="1" spans="1:25">
      <c r="A214" s="362"/>
      <c r="B214" s="363"/>
      <c r="C214" s="364"/>
      <c r="D214" s="365"/>
      <c r="E214" s="375" t="str">
        <f>IF(D214="","",VLOOKUP(D214,'[4]Account Code'!$A$3:$D$273,2,0))</f>
        <v/>
      </c>
      <c r="F214" s="367"/>
      <c r="G214" s="368"/>
      <c r="H214" s="368"/>
      <c r="I214" s="369">
        <f>IFERROR(VLOOKUP(O214,[4]CREDITORS!A:B,2,0),"")</f>
        <v>0</v>
      </c>
      <c r="J214" s="370"/>
      <c r="K214" s="370"/>
      <c r="L214" s="371">
        <f t="shared" si="8"/>
        <v>22220976.69</v>
      </c>
      <c r="M214" s="376"/>
      <c r="N214" s="373"/>
      <c r="O214" s="345"/>
      <c r="P214" s="113"/>
      <c r="Q214" s="347">
        <f t="shared" si="7"/>
        <v>0</v>
      </c>
      <c r="R214" s="279"/>
      <c r="S214" s="279"/>
      <c r="T214" s="279"/>
      <c r="U214" s="279"/>
      <c r="V214" s="279"/>
      <c r="W214" s="279"/>
      <c r="X214" s="279"/>
      <c r="Y214" s="279"/>
    </row>
    <row r="215" s="103" customFormat="1" ht="24.75" customHeight="1" spans="1:25">
      <c r="A215" s="362"/>
      <c r="B215" s="363"/>
      <c r="C215" s="364"/>
      <c r="D215" s="365"/>
      <c r="E215" s="375" t="str">
        <f>IF(D215="","",VLOOKUP(D215,'[4]Account Code'!$A$3:$D$273,2,0))</f>
        <v/>
      </c>
      <c r="F215" s="367"/>
      <c r="G215" s="368"/>
      <c r="H215" s="368"/>
      <c r="I215" s="369">
        <f>IFERROR(VLOOKUP(O215,[4]CREDITORS!A:B,2,0),"")</f>
        <v>0</v>
      </c>
      <c r="J215" s="370"/>
      <c r="K215" s="370"/>
      <c r="L215" s="371">
        <f t="shared" si="8"/>
        <v>22220976.69</v>
      </c>
      <c r="M215" s="376"/>
      <c r="N215" s="373"/>
      <c r="O215" s="345"/>
      <c r="P215" s="113"/>
      <c r="Q215" s="347">
        <f t="shared" si="7"/>
        <v>0</v>
      </c>
      <c r="R215" s="279"/>
      <c r="S215" s="279"/>
      <c r="T215" s="279"/>
      <c r="U215" s="279"/>
      <c r="V215" s="279"/>
      <c r="W215" s="279"/>
      <c r="X215" s="279"/>
      <c r="Y215" s="279"/>
    </row>
    <row r="216" s="103" customFormat="1" ht="24.75" customHeight="1" spans="1:25">
      <c r="A216" s="362"/>
      <c r="B216" s="363"/>
      <c r="C216" s="364"/>
      <c r="D216" s="365"/>
      <c r="E216" s="375" t="str">
        <f>IF(D216="","",VLOOKUP(D216,'[4]Account Code'!$A$3:$D$273,2,0))</f>
        <v/>
      </c>
      <c r="F216" s="367"/>
      <c r="G216" s="368"/>
      <c r="H216" s="368"/>
      <c r="I216" s="369">
        <f>IFERROR(VLOOKUP(O216,[4]CREDITORS!A:B,2,0),"")</f>
        <v>0</v>
      </c>
      <c r="J216" s="370"/>
      <c r="K216" s="370"/>
      <c r="L216" s="371">
        <f t="shared" si="8"/>
        <v>22220976.69</v>
      </c>
      <c r="M216" s="376"/>
      <c r="N216" s="373"/>
      <c r="O216" s="345"/>
      <c r="P216" s="113"/>
      <c r="Q216" s="347">
        <f t="shared" si="7"/>
        <v>0</v>
      </c>
      <c r="R216" s="279"/>
      <c r="S216" s="279"/>
      <c r="T216" s="279"/>
      <c r="U216" s="279"/>
      <c r="V216" s="279"/>
      <c r="W216" s="279"/>
      <c r="X216" s="279"/>
      <c r="Y216" s="279"/>
    </row>
    <row r="217" s="103" customFormat="1" ht="24.75" customHeight="1" spans="1:25">
      <c r="A217" s="362"/>
      <c r="B217" s="363"/>
      <c r="C217" s="364"/>
      <c r="D217" s="365"/>
      <c r="E217" s="375" t="str">
        <f>IF(D217="","",VLOOKUP(D217,'[4]Account Code'!$A$3:$D$273,2,0))</f>
        <v/>
      </c>
      <c r="F217" s="367"/>
      <c r="G217" s="368"/>
      <c r="H217" s="368"/>
      <c r="I217" s="369">
        <f>IFERROR(VLOOKUP(O217,[4]CREDITORS!A:B,2,0),"")</f>
        <v>0</v>
      </c>
      <c r="J217" s="370"/>
      <c r="K217" s="370"/>
      <c r="L217" s="371">
        <f t="shared" si="8"/>
        <v>22220976.69</v>
      </c>
      <c r="M217" s="376"/>
      <c r="N217" s="373"/>
      <c r="O217" s="345"/>
      <c r="P217" s="113"/>
      <c r="Q217" s="347">
        <f t="shared" si="7"/>
        <v>0</v>
      </c>
      <c r="R217" s="279"/>
      <c r="S217" s="279"/>
      <c r="T217" s="279"/>
      <c r="U217" s="279"/>
      <c r="V217" s="279"/>
      <c r="W217" s="279"/>
      <c r="X217" s="279"/>
      <c r="Y217" s="279"/>
    </row>
    <row r="218" s="103" customFormat="1" ht="24.75" customHeight="1" spans="1:25">
      <c r="A218" s="362"/>
      <c r="B218" s="363"/>
      <c r="C218" s="364"/>
      <c r="D218" s="365"/>
      <c r="E218" s="375" t="str">
        <f>IF(D218="","",VLOOKUP(D218,'[4]Account Code'!$A$3:$D$273,2,0))</f>
        <v/>
      </c>
      <c r="F218" s="367"/>
      <c r="G218" s="368"/>
      <c r="H218" s="368"/>
      <c r="I218" s="369">
        <f>IFERROR(VLOOKUP(O218,[4]CREDITORS!A:B,2,0),"")</f>
        <v>0</v>
      </c>
      <c r="J218" s="370"/>
      <c r="K218" s="370"/>
      <c r="L218" s="371">
        <f t="shared" si="8"/>
        <v>22220976.69</v>
      </c>
      <c r="M218" s="376"/>
      <c r="N218" s="373"/>
      <c r="O218" s="345"/>
      <c r="P218" s="113"/>
      <c r="Q218" s="347">
        <f t="shared" si="7"/>
        <v>0</v>
      </c>
      <c r="R218" s="279"/>
      <c r="S218" s="279"/>
      <c r="T218" s="279"/>
      <c r="U218" s="279"/>
      <c r="V218" s="279"/>
      <c r="W218" s="279"/>
      <c r="X218" s="279"/>
      <c r="Y218" s="279"/>
    </row>
    <row r="219" s="103" customFormat="1" ht="24.75" customHeight="1" spans="1:25">
      <c r="A219" s="362"/>
      <c r="B219" s="363"/>
      <c r="C219" s="364"/>
      <c r="D219" s="365"/>
      <c r="E219" s="375" t="str">
        <f>IF(D219="","",VLOOKUP(D219,'[4]Account Code'!$A$3:$D$273,2,0))</f>
        <v/>
      </c>
      <c r="F219" s="367"/>
      <c r="G219" s="368"/>
      <c r="H219" s="368"/>
      <c r="I219" s="369">
        <f>IFERROR(VLOOKUP(O219,[4]CREDITORS!A:B,2,0),"")</f>
        <v>0</v>
      </c>
      <c r="J219" s="370"/>
      <c r="K219" s="370"/>
      <c r="L219" s="371">
        <f t="shared" si="8"/>
        <v>22220976.69</v>
      </c>
      <c r="M219" s="376"/>
      <c r="N219" s="373"/>
      <c r="O219" s="345"/>
      <c r="P219" s="113"/>
      <c r="Q219" s="347">
        <f t="shared" si="7"/>
        <v>0</v>
      </c>
      <c r="R219" s="279"/>
      <c r="S219" s="279"/>
      <c r="T219" s="279"/>
      <c r="U219" s="279"/>
      <c r="V219" s="279"/>
      <c r="W219" s="279"/>
      <c r="X219" s="279"/>
      <c r="Y219" s="279"/>
    </row>
    <row r="220" s="103" customFormat="1" ht="24.75" customHeight="1" spans="1:25">
      <c r="A220" s="362"/>
      <c r="B220" s="363"/>
      <c r="C220" s="364"/>
      <c r="D220" s="365"/>
      <c r="E220" s="375" t="str">
        <f>IF(D220="","",VLOOKUP(D220,'[4]Account Code'!$A$3:$D$273,2,0))</f>
        <v/>
      </c>
      <c r="F220" s="367"/>
      <c r="G220" s="368"/>
      <c r="H220" s="368"/>
      <c r="I220" s="369">
        <f>IFERROR(VLOOKUP(O220,[4]CREDITORS!A:B,2,0),"")</f>
        <v>0</v>
      </c>
      <c r="J220" s="370"/>
      <c r="K220" s="370"/>
      <c r="L220" s="371">
        <f t="shared" si="8"/>
        <v>22220976.69</v>
      </c>
      <c r="M220" s="376"/>
      <c r="N220" s="373"/>
      <c r="O220" s="345"/>
      <c r="P220" s="113"/>
      <c r="Q220" s="347">
        <f t="shared" si="7"/>
        <v>0</v>
      </c>
      <c r="R220" s="279"/>
      <c r="S220" s="279"/>
      <c r="T220" s="279"/>
      <c r="U220" s="279"/>
      <c r="V220" s="279"/>
      <c r="W220" s="279"/>
      <c r="X220" s="279"/>
      <c r="Y220" s="279"/>
    </row>
    <row r="221" s="103" customFormat="1" ht="24.75" customHeight="1" spans="1:25">
      <c r="A221" s="362"/>
      <c r="B221" s="363"/>
      <c r="C221" s="364"/>
      <c r="D221" s="365"/>
      <c r="E221" s="375" t="str">
        <f>IF(D221="","",VLOOKUP(D221,'[4]Account Code'!$A$3:$D$273,2,0))</f>
        <v/>
      </c>
      <c r="F221" s="367"/>
      <c r="G221" s="368"/>
      <c r="H221" s="368"/>
      <c r="I221" s="369">
        <f>IFERROR(VLOOKUP(O221,[4]CREDITORS!A:B,2,0),"")</f>
        <v>0</v>
      </c>
      <c r="J221" s="370"/>
      <c r="K221" s="370"/>
      <c r="L221" s="371">
        <f t="shared" si="8"/>
        <v>22220976.69</v>
      </c>
      <c r="M221" s="376"/>
      <c r="N221" s="373"/>
      <c r="O221" s="345"/>
      <c r="P221" s="113"/>
      <c r="Q221" s="347">
        <f t="shared" si="7"/>
        <v>0</v>
      </c>
      <c r="R221" s="279"/>
      <c r="S221" s="279"/>
      <c r="T221" s="279"/>
      <c r="U221" s="279"/>
      <c r="V221" s="279"/>
      <c r="W221" s="279"/>
      <c r="X221" s="279"/>
      <c r="Y221" s="279"/>
    </row>
    <row r="222" s="103" customFormat="1" ht="24.75" customHeight="1" spans="1:25">
      <c r="A222" s="362"/>
      <c r="B222" s="363"/>
      <c r="C222" s="364"/>
      <c r="D222" s="365"/>
      <c r="E222" s="375" t="str">
        <f>IF(D222="","",VLOOKUP(D222,'[4]Account Code'!$A$3:$D$273,2,0))</f>
        <v/>
      </c>
      <c r="F222" s="367"/>
      <c r="G222" s="368"/>
      <c r="H222" s="368"/>
      <c r="I222" s="369">
        <f>IFERROR(VLOOKUP(O222,[4]CREDITORS!A:B,2,0),"")</f>
        <v>0</v>
      </c>
      <c r="J222" s="370"/>
      <c r="K222" s="370"/>
      <c r="L222" s="371">
        <f t="shared" si="8"/>
        <v>22220976.69</v>
      </c>
      <c r="M222" s="376"/>
      <c r="N222" s="373"/>
      <c r="O222" s="345"/>
      <c r="P222" s="113"/>
      <c r="Q222" s="347">
        <f t="shared" si="7"/>
        <v>0</v>
      </c>
      <c r="R222" s="279"/>
      <c r="S222" s="279"/>
      <c r="T222" s="279"/>
      <c r="U222" s="279"/>
      <c r="V222" s="279"/>
      <c r="W222" s="279"/>
      <c r="X222" s="279"/>
      <c r="Y222" s="279"/>
    </row>
    <row r="223" s="103" customFormat="1" ht="24.75" customHeight="1" spans="1:25">
      <c r="A223" s="362"/>
      <c r="B223" s="363"/>
      <c r="C223" s="364"/>
      <c r="D223" s="365"/>
      <c r="E223" s="375" t="str">
        <f>IF(D223="","",VLOOKUP(D223,'[4]Account Code'!$A$3:$D$273,2,0))</f>
        <v/>
      </c>
      <c r="F223" s="367"/>
      <c r="G223" s="368"/>
      <c r="H223" s="368"/>
      <c r="I223" s="369">
        <f>IFERROR(VLOOKUP(O223,[4]CREDITORS!A:B,2,0),"")</f>
        <v>0</v>
      </c>
      <c r="J223" s="370"/>
      <c r="K223" s="370"/>
      <c r="L223" s="371">
        <f t="shared" si="8"/>
        <v>22220976.69</v>
      </c>
      <c r="M223" s="376"/>
      <c r="N223" s="373"/>
      <c r="O223" s="345"/>
      <c r="P223" s="113"/>
      <c r="Q223" s="347">
        <f t="shared" si="7"/>
        <v>0</v>
      </c>
      <c r="R223" s="279"/>
      <c r="S223" s="279"/>
      <c r="T223" s="279"/>
      <c r="U223" s="279"/>
      <c r="V223" s="279"/>
      <c r="W223" s="279"/>
      <c r="X223" s="279"/>
      <c r="Y223" s="279"/>
    </row>
    <row r="224" s="103" customFormat="1" ht="24.75" customHeight="1" spans="1:25">
      <c r="A224" s="362"/>
      <c r="B224" s="363"/>
      <c r="C224" s="364"/>
      <c r="D224" s="365"/>
      <c r="E224" s="375" t="str">
        <f>IF(D224="","",VLOOKUP(D224,'[4]Account Code'!$A$3:$D$273,2,0))</f>
        <v/>
      </c>
      <c r="F224" s="367"/>
      <c r="G224" s="368"/>
      <c r="H224" s="368"/>
      <c r="I224" s="369">
        <f>IFERROR(VLOOKUP(O224,[4]CREDITORS!A:B,2,0),"")</f>
        <v>0</v>
      </c>
      <c r="J224" s="370"/>
      <c r="K224" s="370"/>
      <c r="L224" s="371">
        <f t="shared" si="8"/>
        <v>22220976.69</v>
      </c>
      <c r="M224" s="376"/>
      <c r="N224" s="373"/>
      <c r="O224" s="345"/>
      <c r="P224" s="113"/>
      <c r="Q224" s="347">
        <f t="shared" si="7"/>
        <v>0</v>
      </c>
      <c r="R224" s="279"/>
      <c r="S224" s="279"/>
      <c r="T224" s="279"/>
      <c r="U224" s="279"/>
      <c r="V224" s="279"/>
      <c r="W224" s="279"/>
      <c r="X224" s="279"/>
      <c r="Y224" s="279"/>
    </row>
    <row r="225" s="103" customFormat="1" ht="24.75" customHeight="1" spans="1:25">
      <c r="A225" s="362"/>
      <c r="B225" s="363"/>
      <c r="C225" s="364"/>
      <c r="D225" s="365"/>
      <c r="E225" s="375" t="str">
        <f>IF(D225="","",VLOOKUP(D225,'[4]Account Code'!$A$3:$D$273,2,0))</f>
        <v/>
      </c>
      <c r="F225" s="367"/>
      <c r="G225" s="368"/>
      <c r="H225" s="368"/>
      <c r="I225" s="369">
        <f>IFERROR(VLOOKUP(O225,[4]CREDITORS!A:B,2,0),"")</f>
        <v>0</v>
      </c>
      <c r="J225" s="370"/>
      <c r="K225" s="370"/>
      <c r="L225" s="371">
        <f t="shared" si="8"/>
        <v>22220976.69</v>
      </c>
      <c r="M225" s="376"/>
      <c r="N225" s="373"/>
      <c r="O225" s="345"/>
      <c r="P225" s="113"/>
      <c r="Q225" s="347">
        <f t="shared" si="7"/>
        <v>0</v>
      </c>
      <c r="R225" s="279"/>
      <c r="S225" s="279"/>
      <c r="T225" s="279"/>
      <c r="U225" s="279"/>
      <c r="V225" s="279"/>
      <c r="W225" s="279"/>
      <c r="X225" s="279"/>
      <c r="Y225" s="279"/>
    </row>
    <row r="226" s="103" customFormat="1" ht="24.75" customHeight="1" spans="1:25">
      <c r="A226" s="362"/>
      <c r="B226" s="363"/>
      <c r="C226" s="364"/>
      <c r="D226" s="365"/>
      <c r="E226" s="375" t="str">
        <f>IF(D226="","",VLOOKUP(D226,'[4]Account Code'!$A$3:$D$273,2,0))</f>
        <v/>
      </c>
      <c r="F226" s="367"/>
      <c r="G226" s="368"/>
      <c r="H226" s="368"/>
      <c r="I226" s="369">
        <f>IFERROR(VLOOKUP(O226,[4]CREDITORS!A:B,2,0),"")</f>
        <v>0</v>
      </c>
      <c r="J226" s="370"/>
      <c r="K226" s="370"/>
      <c r="L226" s="371">
        <f t="shared" si="8"/>
        <v>22220976.69</v>
      </c>
      <c r="M226" s="376"/>
      <c r="N226" s="373"/>
      <c r="O226" s="345"/>
      <c r="P226" s="113"/>
      <c r="Q226" s="347">
        <f t="shared" si="7"/>
        <v>0</v>
      </c>
      <c r="R226" s="279"/>
      <c r="S226" s="279"/>
      <c r="T226" s="279"/>
      <c r="U226" s="279"/>
      <c r="V226" s="279"/>
      <c r="W226" s="279"/>
      <c r="X226" s="279"/>
      <c r="Y226" s="279"/>
    </row>
    <row r="227" s="103" customFormat="1" ht="24.75" customHeight="1" spans="1:25">
      <c r="A227" s="362"/>
      <c r="B227" s="363"/>
      <c r="C227" s="364"/>
      <c r="D227" s="365"/>
      <c r="E227" s="375" t="str">
        <f>IF(D227="","",VLOOKUP(D227,'[4]Account Code'!$A$3:$D$273,2,0))</f>
        <v/>
      </c>
      <c r="F227" s="367"/>
      <c r="G227" s="368"/>
      <c r="H227" s="368"/>
      <c r="I227" s="369">
        <f>IFERROR(VLOOKUP(O227,[4]CREDITORS!A:B,2,0),"")</f>
        <v>0</v>
      </c>
      <c r="J227" s="370"/>
      <c r="K227" s="370"/>
      <c r="L227" s="371">
        <f t="shared" si="8"/>
        <v>22220976.69</v>
      </c>
      <c r="M227" s="376"/>
      <c r="N227" s="373"/>
      <c r="O227" s="345"/>
      <c r="P227" s="113"/>
      <c r="Q227" s="347">
        <f t="shared" si="7"/>
        <v>0</v>
      </c>
      <c r="R227" s="279"/>
      <c r="S227" s="279"/>
      <c r="T227" s="279"/>
      <c r="U227" s="279"/>
      <c r="V227" s="279"/>
      <c r="W227" s="279"/>
      <c r="X227" s="279"/>
      <c r="Y227" s="279"/>
    </row>
    <row r="228" s="103" customFormat="1" ht="24.75" customHeight="1" spans="1:25">
      <c r="A228" s="362"/>
      <c r="B228" s="363"/>
      <c r="C228" s="364"/>
      <c r="D228" s="365"/>
      <c r="E228" s="375" t="str">
        <f>IF(D228="","",VLOOKUP(D228,'[4]Account Code'!$A$3:$D$273,2,0))</f>
        <v/>
      </c>
      <c r="F228" s="367"/>
      <c r="G228" s="368"/>
      <c r="H228" s="368"/>
      <c r="I228" s="369">
        <f>IFERROR(VLOOKUP(O228,[4]CREDITORS!A:B,2,0),"")</f>
        <v>0</v>
      </c>
      <c r="J228" s="370"/>
      <c r="K228" s="370"/>
      <c r="L228" s="371">
        <f t="shared" si="8"/>
        <v>22220976.69</v>
      </c>
      <c r="M228" s="376"/>
      <c r="N228" s="373"/>
      <c r="O228" s="345"/>
      <c r="P228" s="113"/>
      <c r="Q228" s="347">
        <f t="shared" si="7"/>
        <v>0</v>
      </c>
      <c r="R228" s="279"/>
      <c r="S228" s="279"/>
      <c r="T228" s="279"/>
      <c r="U228" s="279"/>
      <c r="V228" s="279"/>
      <c r="W228" s="279"/>
      <c r="X228" s="279"/>
      <c r="Y228" s="279"/>
    </row>
    <row r="229" s="103" customFormat="1" ht="24.75" customHeight="1" spans="1:25">
      <c r="A229" s="362"/>
      <c r="B229" s="363"/>
      <c r="C229" s="364"/>
      <c r="D229" s="365"/>
      <c r="E229" s="375" t="str">
        <f>IF(D229="","",VLOOKUP(D229,'[4]Account Code'!$A$3:$D$273,2,0))</f>
        <v/>
      </c>
      <c r="F229" s="367"/>
      <c r="G229" s="368"/>
      <c r="H229" s="368"/>
      <c r="I229" s="369">
        <f>IFERROR(VLOOKUP(O229,[4]CREDITORS!A:B,2,0),"")</f>
        <v>0</v>
      </c>
      <c r="J229" s="370"/>
      <c r="K229" s="370"/>
      <c r="L229" s="371">
        <f t="shared" si="8"/>
        <v>22220976.69</v>
      </c>
      <c r="M229" s="376"/>
      <c r="N229" s="373"/>
      <c r="O229" s="345"/>
      <c r="P229" s="113"/>
      <c r="Q229" s="347">
        <f t="shared" si="7"/>
        <v>0</v>
      </c>
      <c r="R229" s="279"/>
      <c r="S229" s="279"/>
      <c r="T229" s="279"/>
      <c r="U229" s="279"/>
      <c r="V229" s="279"/>
      <c r="W229" s="279"/>
      <c r="X229" s="279"/>
      <c r="Y229" s="279"/>
    </row>
    <row r="230" s="103" customFormat="1" ht="24.75" customHeight="1" spans="1:25">
      <c r="A230" s="362"/>
      <c r="B230" s="363"/>
      <c r="C230" s="364"/>
      <c r="D230" s="365"/>
      <c r="E230" s="375" t="str">
        <f>IF(D230="","",VLOOKUP(D230,'[4]Account Code'!$A$3:$D$273,2,0))</f>
        <v/>
      </c>
      <c r="F230" s="367"/>
      <c r="G230" s="368"/>
      <c r="H230" s="368"/>
      <c r="I230" s="369">
        <f>IFERROR(VLOOKUP(O230,[4]CREDITORS!A:B,2,0),"")</f>
        <v>0</v>
      </c>
      <c r="J230" s="370"/>
      <c r="K230" s="370"/>
      <c r="L230" s="371">
        <f t="shared" si="8"/>
        <v>22220976.69</v>
      </c>
      <c r="M230" s="376"/>
      <c r="N230" s="373"/>
      <c r="O230" s="345"/>
      <c r="P230" s="113"/>
      <c r="Q230" s="347">
        <f t="shared" si="7"/>
        <v>0</v>
      </c>
      <c r="R230" s="279"/>
      <c r="S230" s="279"/>
      <c r="T230" s="279"/>
      <c r="U230" s="279"/>
      <c r="V230" s="279"/>
      <c r="W230" s="279"/>
      <c r="X230" s="279"/>
      <c r="Y230" s="279"/>
    </row>
    <row r="231" s="103" customFormat="1" ht="24.75" customHeight="1" spans="1:25">
      <c r="A231" s="362"/>
      <c r="B231" s="363"/>
      <c r="C231" s="364"/>
      <c r="D231" s="365"/>
      <c r="E231" s="375" t="str">
        <f>IF(D231="","",VLOOKUP(D231,'[4]Account Code'!$A$3:$D$273,2,0))</f>
        <v/>
      </c>
      <c r="F231" s="367"/>
      <c r="G231" s="368"/>
      <c r="H231" s="368"/>
      <c r="I231" s="369">
        <f>IFERROR(VLOOKUP(O231,[4]CREDITORS!A:B,2,0),"")</f>
        <v>0</v>
      </c>
      <c r="J231" s="370"/>
      <c r="K231" s="370"/>
      <c r="L231" s="371">
        <f t="shared" si="8"/>
        <v>22220976.69</v>
      </c>
      <c r="M231" s="376"/>
      <c r="N231" s="373"/>
      <c r="O231" s="345"/>
      <c r="P231" s="113"/>
      <c r="Q231" s="347">
        <f t="shared" si="7"/>
        <v>0</v>
      </c>
      <c r="R231" s="279"/>
      <c r="S231" s="279"/>
      <c r="T231" s="279"/>
      <c r="U231" s="279"/>
      <c r="V231" s="279"/>
      <c r="W231" s="279"/>
      <c r="X231" s="279"/>
      <c r="Y231" s="279"/>
    </row>
    <row r="232" s="103" customFormat="1" ht="24.75" customHeight="1" spans="1:25">
      <c r="A232" s="362"/>
      <c r="B232" s="363"/>
      <c r="C232" s="364"/>
      <c r="D232" s="365"/>
      <c r="E232" s="375" t="str">
        <f>IF(D232="","",VLOOKUP(D232,'[4]Account Code'!$A$3:$D$273,2,0))</f>
        <v/>
      </c>
      <c r="F232" s="367"/>
      <c r="G232" s="368"/>
      <c r="H232" s="368"/>
      <c r="I232" s="369">
        <f>IFERROR(VLOOKUP(O232,[4]CREDITORS!A:B,2,0),"")</f>
        <v>0</v>
      </c>
      <c r="J232" s="370"/>
      <c r="K232" s="370"/>
      <c r="L232" s="371">
        <f t="shared" si="8"/>
        <v>22220976.69</v>
      </c>
      <c r="M232" s="376"/>
      <c r="N232" s="373"/>
      <c r="O232" s="345"/>
      <c r="P232" s="113"/>
      <c r="Q232" s="347">
        <f t="shared" si="7"/>
        <v>0</v>
      </c>
      <c r="R232" s="279"/>
      <c r="S232" s="279"/>
      <c r="T232" s="279"/>
      <c r="U232" s="279"/>
      <c r="V232" s="279"/>
      <c r="W232" s="279"/>
      <c r="X232" s="279"/>
      <c r="Y232" s="279"/>
    </row>
    <row r="233" s="103" customFormat="1" ht="24.75" customHeight="1" spans="1:25">
      <c r="A233" s="362"/>
      <c r="B233" s="363"/>
      <c r="C233" s="364"/>
      <c r="D233" s="365"/>
      <c r="E233" s="375" t="str">
        <f>IF(D233="","",VLOOKUP(D233,'[4]Account Code'!$A$3:$D$273,2,0))</f>
        <v/>
      </c>
      <c r="F233" s="367"/>
      <c r="G233" s="368"/>
      <c r="H233" s="368"/>
      <c r="I233" s="369">
        <f>IFERROR(VLOOKUP(O233,[4]CREDITORS!A:B,2,0),"")</f>
        <v>0</v>
      </c>
      <c r="J233" s="370"/>
      <c r="K233" s="370"/>
      <c r="L233" s="371">
        <f t="shared" si="8"/>
        <v>22220976.69</v>
      </c>
      <c r="M233" s="376"/>
      <c r="N233" s="373"/>
      <c r="O233" s="345"/>
      <c r="P233" s="113"/>
      <c r="Q233" s="347">
        <f t="shared" si="7"/>
        <v>0</v>
      </c>
      <c r="R233" s="279"/>
      <c r="S233" s="279"/>
      <c r="T233" s="279"/>
      <c r="U233" s="279"/>
      <c r="V233" s="279"/>
      <c r="W233" s="279"/>
      <c r="X233" s="279"/>
      <c r="Y233" s="279"/>
    </row>
    <row r="234" s="103" customFormat="1" ht="24.75" customHeight="1" spans="1:25">
      <c r="A234" s="362"/>
      <c r="B234" s="363"/>
      <c r="C234" s="364"/>
      <c r="D234" s="365"/>
      <c r="E234" s="375" t="str">
        <f>IF(D234="","",VLOOKUP(D234,'[4]Account Code'!$A$3:$D$273,2,0))</f>
        <v/>
      </c>
      <c r="F234" s="367"/>
      <c r="G234" s="368"/>
      <c r="H234" s="368"/>
      <c r="I234" s="369">
        <f>IFERROR(VLOOKUP(O234,[4]CREDITORS!A:B,2,0),"")</f>
        <v>0</v>
      </c>
      <c r="J234" s="370"/>
      <c r="K234" s="370"/>
      <c r="L234" s="371">
        <f t="shared" si="8"/>
        <v>22220976.69</v>
      </c>
      <c r="M234" s="376"/>
      <c r="N234" s="373"/>
      <c r="O234" s="345"/>
      <c r="P234" s="113"/>
      <c r="Q234" s="347">
        <f t="shared" si="7"/>
        <v>0</v>
      </c>
      <c r="R234" s="279"/>
      <c r="S234" s="279"/>
      <c r="T234" s="279"/>
      <c r="U234" s="279"/>
      <c r="V234" s="279"/>
      <c r="W234" s="279"/>
      <c r="X234" s="279"/>
      <c r="Y234" s="279"/>
    </row>
    <row r="235" s="103" customFormat="1" ht="24.75" customHeight="1" spans="1:25">
      <c r="A235" s="362"/>
      <c r="B235" s="363"/>
      <c r="C235" s="364"/>
      <c r="D235" s="365"/>
      <c r="E235" s="375" t="str">
        <f>IF(D235="","",VLOOKUP(D235,'[4]Account Code'!$A$3:$D$273,2,0))</f>
        <v/>
      </c>
      <c r="F235" s="367"/>
      <c r="G235" s="368"/>
      <c r="H235" s="368"/>
      <c r="I235" s="369">
        <f>IFERROR(VLOOKUP(O235,[4]CREDITORS!A:B,2,0),"")</f>
        <v>0</v>
      </c>
      <c r="J235" s="370"/>
      <c r="K235" s="370"/>
      <c r="L235" s="371">
        <f t="shared" si="8"/>
        <v>22220976.69</v>
      </c>
      <c r="M235" s="376"/>
      <c r="N235" s="373"/>
      <c r="O235" s="345"/>
      <c r="P235" s="113"/>
      <c r="Q235" s="347">
        <f t="shared" si="7"/>
        <v>0</v>
      </c>
      <c r="R235" s="279"/>
      <c r="S235" s="279"/>
      <c r="T235" s="279"/>
      <c r="U235" s="279"/>
      <c r="V235" s="279"/>
      <c r="W235" s="279"/>
      <c r="X235" s="279"/>
      <c r="Y235" s="279"/>
    </row>
    <row r="236" s="103" customFormat="1" ht="24.75" customHeight="1" spans="1:25">
      <c r="A236" s="362"/>
      <c r="B236" s="363"/>
      <c r="C236" s="364"/>
      <c r="D236" s="365"/>
      <c r="E236" s="375" t="str">
        <f>IF(D236="","",VLOOKUP(D236,'[4]Account Code'!$A$3:$D$273,2,0))</f>
        <v/>
      </c>
      <c r="F236" s="367"/>
      <c r="G236" s="368"/>
      <c r="H236" s="368"/>
      <c r="I236" s="369">
        <f>IFERROR(VLOOKUP(O236,[4]CREDITORS!A:B,2,0),"")</f>
        <v>0</v>
      </c>
      <c r="J236" s="370"/>
      <c r="K236" s="370"/>
      <c r="L236" s="371">
        <f t="shared" si="8"/>
        <v>22220976.69</v>
      </c>
      <c r="M236" s="376"/>
      <c r="N236" s="373"/>
      <c r="O236" s="345"/>
      <c r="P236" s="113"/>
      <c r="Q236" s="347">
        <f t="shared" si="7"/>
        <v>0</v>
      </c>
      <c r="R236" s="279"/>
      <c r="S236" s="279"/>
      <c r="T236" s="279"/>
      <c r="U236" s="279"/>
      <c r="V236" s="279"/>
      <c r="W236" s="279"/>
      <c r="X236" s="279"/>
      <c r="Y236" s="279"/>
    </row>
    <row r="237" s="103" customFormat="1" ht="24.75" customHeight="1" spans="1:25">
      <c r="A237" s="362"/>
      <c r="B237" s="363"/>
      <c r="C237" s="364"/>
      <c r="D237" s="365"/>
      <c r="E237" s="375" t="str">
        <f>IF(D237="","",VLOOKUP(D237,'[4]Account Code'!$A$3:$D$273,2,0))</f>
        <v/>
      </c>
      <c r="F237" s="367"/>
      <c r="G237" s="368"/>
      <c r="H237" s="368"/>
      <c r="I237" s="369">
        <f>IFERROR(VLOOKUP(O237,[4]CREDITORS!A:B,2,0),"")</f>
        <v>0</v>
      </c>
      <c r="J237" s="370"/>
      <c r="K237" s="370"/>
      <c r="L237" s="371">
        <f t="shared" si="8"/>
        <v>22220976.69</v>
      </c>
      <c r="M237" s="376"/>
      <c r="N237" s="373"/>
      <c r="O237" s="345"/>
      <c r="P237" s="113"/>
      <c r="Q237" s="347">
        <f t="shared" si="7"/>
        <v>0</v>
      </c>
      <c r="R237" s="279"/>
      <c r="S237" s="279"/>
      <c r="T237" s="279"/>
      <c r="U237" s="279"/>
      <c r="V237" s="279"/>
      <c r="W237" s="279"/>
      <c r="X237" s="279"/>
      <c r="Y237" s="279"/>
    </row>
    <row r="238" s="103" customFormat="1" ht="24.75" customHeight="1" spans="1:25">
      <c r="A238" s="362"/>
      <c r="B238" s="363"/>
      <c r="C238" s="364"/>
      <c r="D238" s="365"/>
      <c r="E238" s="375" t="str">
        <f>IF(D238="","",VLOOKUP(D238,'[4]Account Code'!$A$3:$D$273,2,0))</f>
        <v/>
      </c>
      <c r="F238" s="367"/>
      <c r="G238" s="368"/>
      <c r="H238" s="368"/>
      <c r="I238" s="369">
        <f>IFERROR(VLOOKUP(O238,[4]CREDITORS!A:B,2,0),"")</f>
        <v>0</v>
      </c>
      <c r="J238" s="381"/>
      <c r="K238" s="381"/>
      <c r="L238" s="371">
        <f t="shared" si="8"/>
        <v>22220976.69</v>
      </c>
      <c r="M238" s="376"/>
      <c r="N238" s="373"/>
      <c r="O238" s="345"/>
      <c r="P238" s="113"/>
      <c r="Q238" s="347">
        <f t="shared" ref="Q238:Q301" si="9">(LEN(C238))</f>
        <v>0</v>
      </c>
      <c r="R238" s="279"/>
      <c r="S238" s="279"/>
      <c r="T238" s="279"/>
      <c r="U238" s="279"/>
      <c r="V238" s="279"/>
      <c r="W238" s="279"/>
      <c r="X238" s="279"/>
      <c r="Y238" s="279"/>
    </row>
    <row r="239" s="103" customFormat="1" ht="24.75" customHeight="1" spans="1:25">
      <c r="A239" s="362"/>
      <c r="B239" s="363"/>
      <c r="C239" s="364"/>
      <c r="D239" s="365"/>
      <c r="E239" s="375" t="str">
        <f>IF(D239="","",VLOOKUP(D239,'[4]Account Code'!$A$3:$D$273,2,0))</f>
        <v/>
      </c>
      <c r="F239" s="367"/>
      <c r="G239" s="368"/>
      <c r="H239" s="368"/>
      <c r="I239" s="369">
        <f>IFERROR(VLOOKUP(O239,[4]CREDITORS!A:B,2,0),"")</f>
        <v>0</v>
      </c>
      <c r="J239" s="381"/>
      <c r="K239" s="370"/>
      <c r="L239" s="371">
        <f t="shared" si="8"/>
        <v>22220976.69</v>
      </c>
      <c r="M239" s="376"/>
      <c r="N239" s="373"/>
      <c r="O239" s="345"/>
      <c r="P239" s="113"/>
      <c r="Q239" s="347">
        <f t="shared" si="9"/>
        <v>0</v>
      </c>
      <c r="R239" s="279"/>
      <c r="S239" s="279"/>
      <c r="T239" s="279"/>
      <c r="U239" s="279"/>
      <c r="V239" s="279"/>
      <c r="W239" s="279"/>
      <c r="X239" s="279"/>
      <c r="Y239" s="279"/>
    </row>
    <row r="240" s="103" customFormat="1" ht="24.75" customHeight="1" spans="1:25">
      <c r="A240" s="362"/>
      <c r="B240" s="363"/>
      <c r="C240" s="364"/>
      <c r="D240" s="365"/>
      <c r="E240" s="375" t="str">
        <f>IF(D240="","",VLOOKUP(D240,'[4]Account Code'!$A$3:$D$273,2,0))</f>
        <v/>
      </c>
      <c r="F240" s="367"/>
      <c r="G240" s="368"/>
      <c r="H240" s="368"/>
      <c r="I240" s="369">
        <f>IFERROR(VLOOKUP(O240,[4]CREDITORS!A:B,2,0),"")</f>
        <v>0</v>
      </c>
      <c r="J240" s="381"/>
      <c r="K240" s="381"/>
      <c r="L240" s="371">
        <f t="shared" si="8"/>
        <v>22220976.69</v>
      </c>
      <c r="M240" s="376"/>
      <c r="N240" s="373"/>
      <c r="O240" s="345"/>
      <c r="P240" s="113"/>
      <c r="Q240" s="347">
        <f t="shared" si="9"/>
        <v>0</v>
      </c>
      <c r="R240" s="279"/>
      <c r="S240" s="279"/>
      <c r="T240" s="279"/>
      <c r="U240" s="279"/>
      <c r="V240" s="279"/>
      <c r="W240" s="279"/>
      <c r="X240" s="279"/>
      <c r="Y240" s="279"/>
    </row>
    <row r="241" s="103" customFormat="1" ht="24.75" customHeight="1" spans="1:25">
      <c r="A241" s="362"/>
      <c r="B241" s="363"/>
      <c r="C241" s="364"/>
      <c r="D241" s="365"/>
      <c r="E241" s="375" t="str">
        <f>IF(D241="","",VLOOKUP(D241,'[4]Account Code'!$A$3:$D$273,2,0))</f>
        <v/>
      </c>
      <c r="F241" s="367"/>
      <c r="G241" s="368"/>
      <c r="H241" s="368"/>
      <c r="I241" s="369">
        <f>IFERROR(VLOOKUP(O241,[4]CREDITORS!A:B,2,0),"")</f>
        <v>0</v>
      </c>
      <c r="J241" s="370"/>
      <c r="K241" s="370"/>
      <c r="L241" s="371">
        <f t="shared" si="8"/>
        <v>22220976.69</v>
      </c>
      <c r="M241" s="376"/>
      <c r="N241" s="373"/>
      <c r="O241" s="345"/>
      <c r="P241" s="113"/>
      <c r="Q241" s="347">
        <f t="shared" si="9"/>
        <v>0</v>
      </c>
      <c r="R241" s="279"/>
      <c r="S241" s="279"/>
      <c r="T241" s="279"/>
      <c r="U241" s="279"/>
      <c r="V241" s="279"/>
      <c r="W241" s="279"/>
      <c r="X241" s="279"/>
      <c r="Y241" s="279"/>
    </row>
    <row r="242" s="103" customFormat="1" ht="24.75" customHeight="1" spans="1:25">
      <c r="A242" s="362"/>
      <c r="B242" s="363"/>
      <c r="C242" s="364"/>
      <c r="D242" s="365"/>
      <c r="E242" s="375" t="str">
        <f>IF(D242="","",VLOOKUP(D242,'[4]Account Code'!$A$3:$D$273,2,0))</f>
        <v/>
      </c>
      <c r="F242" s="367"/>
      <c r="G242" s="368"/>
      <c r="H242" s="368"/>
      <c r="I242" s="369">
        <f>IFERROR(VLOOKUP(O242,[4]CREDITORS!A:B,2,0),"")</f>
        <v>0</v>
      </c>
      <c r="J242" s="370"/>
      <c r="K242" s="370"/>
      <c r="L242" s="371">
        <f t="shared" si="8"/>
        <v>22220976.69</v>
      </c>
      <c r="M242" s="376"/>
      <c r="N242" s="373"/>
      <c r="O242" s="113"/>
      <c r="P242" s="113"/>
      <c r="Q242" s="347">
        <f t="shared" si="9"/>
        <v>0</v>
      </c>
      <c r="R242" s="279"/>
      <c r="S242" s="279"/>
      <c r="T242" s="279"/>
      <c r="U242" s="279"/>
      <c r="V242" s="279"/>
      <c r="W242" s="279"/>
      <c r="X242" s="279"/>
      <c r="Y242" s="279"/>
    </row>
    <row r="243" s="103" customFormat="1" ht="24.75" customHeight="1" spans="1:25">
      <c r="A243" s="362"/>
      <c r="B243" s="363"/>
      <c r="C243" s="364"/>
      <c r="D243" s="365"/>
      <c r="E243" s="375" t="str">
        <f>IF(D243="","",VLOOKUP(D243,'[4]Account Code'!$A$3:$D$273,2,0))</f>
        <v/>
      </c>
      <c r="F243" s="367"/>
      <c r="G243" s="368"/>
      <c r="H243" s="368"/>
      <c r="I243" s="369">
        <f>IFERROR(VLOOKUP(O243,[4]CREDITORS!A:B,2,0),"")</f>
        <v>0</v>
      </c>
      <c r="J243" s="370"/>
      <c r="K243" s="370"/>
      <c r="L243" s="371">
        <f t="shared" si="8"/>
        <v>22220976.69</v>
      </c>
      <c r="M243" s="376"/>
      <c r="N243" s="373"/>
      <c r="O243" s="113"/>
      <c r="P243" s="113"/>
      <c r="Q243" s="347">
        <f t="shared" si="9"/>
        <v>0</v>
      </c>
      <c r="R243" s="279"/>
      <c r="S243" s="279"/>
      <c r="T243" s="279"/>
      <c r="U243" s="279"/>
      <c r="V243" s="279"/>
      <c r="W243" s="279"/>
      <c r="X243" s="279"/>
      <c r="Y243" s="279"/>
    </row>
    <row r="244" s="103" customFormat="1" ht="24.75" customHeight="1" spans="1:25">
      <c r="A244" s="362"/>
      <c r="B244" s="363"/>
      <c r="C244" s="364"/>
      <c r="D244" s="365"/>
      <c r="E244" s="375" t="str">
        <f>IF(D244="","",VLOOKUP(D244,'[4]Account Code'!$A$3:$D$273,2,0))</f>
        <v/>
      </c>
      <c r="F244" s="367"/>
      <c r="G244" s="368"/>
      <c r="H244" s="368"/>
      <c r="I244" s="369">
        <f>IFERROR(VLOOKUP(O244,[4]CREDITORS!A:B,2,0),"")</f>
        <v>0</v>
      </c>
      <c r="J244" s="370"/>
      <c r="K244" s="370"/>
      <c r="L244" s="371">
        <f t="shared" si="8"/>
        <v>22220976.69</v>
      </c>
      <c r="M244" s="376"/>
      <c r="N244" s="373"/>
      <c r="O244" s="113"/>
      <c r="P244" s="113"/>
      <c r="Q244" s="347">
        <f t="shared" si="9"/>
        <v>0</v>
      </c>
      <c r="R244" s="279"/>
      <c r="S244" s="279"/>
      <c r="T244" s="279"/>
      <c r="U244" s="279"/>
      <c r="V244" s="279"/>
      <c r="W244" s="279"/>
      <c r="X244" s="279"/>
      <c r="Y244" s="279"/>
    </row>
    <row r="245" s="103" customFormat="1" ht="24.75" customHeight="1" spans="1:25">
      <c r="A245" s="362"/>
      <c r="B245" s="363"/>
      <c r="C245" s="383"/>
      <c r="D245" s="365"/>
      <c r="E245" s="375" t="str">
        <f>IF(D245="","",VLOOKUP(D245,'[4]Account Code'!$A$3:$D$273,2,0))</f>
        <v/>
      </c>
      <c r="F245" s="367"/>
      <c r="G245" s="368"/>
      <c r="H245" s="368"/>
      <c r="I245" s="369">
        <f>IFERROR(VLOOKUP(O245,[4]CREDITORS!A:B,2,0),"")</f>
        <v>0</v>
      </c>
      <c r="J245" s="370"/>
      <c r="K245" s="370"/>
      <c r="L245" s="371">
        <f t="shared" si="8"/>
        <v>22220976.69</v>
      </c>
      <c r="M245" s="376"/>
      <c r="N245" s="373"/>
      <c r="O245" s="113"/>
      <c r="P245" s="113"/>
      <c r="Q245" s="347">
        <f t="shared" si="9"/>
        <v>0</v>
      </c>
      <c r="R245" s="279"/>
      <c r="S245" s="279"/>
      <c r="T245" s="279"/>
      <c r="U245" s="279"/>
      <c r="V245" s="279"/>
      <c r="W245" s="279"/>
      <c r="X245" s="279"/>
      <c r="Y245" s="279"/>
    </row>
    <row r="246" s="103" customFormat="1" ht="24.75" customHeight="1" spans="1:25">
      <c r="A246" s="362"/>
      <c r="B246" s="363"/>
      <c r="C246" s="364"/>
      <c r="D246" s="365"/>
      <c r="E246" s="375" t="str">
        <f>IF(D246="","",VLOOKUP(D246,'[4]Account Code'!$A$3:$D$273,2,0))</f>
        <v/>
      </c>
      <c r="F246" s="367"/>
      <c r="G246" s="368"/>
      <c r="H246" s="368"/>
      <c r="I246" s="369">
        <f>IFERROR(VLOOKUP(O246,[4]CREDITORS!A:B,2,0),"")</f>
        <v>0</v>
      </c>
      <c r="J246" s="370"/>
      <c r="K246" s="370"/>
      <c r="L246" s="371">
        <f t="shared" si="8"/>
        <v>22220976.69</v>
      </c>
      <c r="M246" s="376"/>
      <c r="N246" s="373"/>
      <c r="O246" s="113"/>
      <c r="P246" s="113"/>
      <c r="Q246" s="347">
        <f t="shared" si="9"/>
        <v>0</v>
      </c>
      <c r="R246" s="279"/>
      <c r="S246" s="279"/>
      <c r="T246" s="279"/>
      <c r="U246" s="279"/>
      <c r="V246" s="279"/>
      <c r="W246" s="279"/>
      <c r="X246" s="279"/>
      <c r="Y246" s="279"/>
    </row>
    <row r="247" s="103" customFormat="1" ht="24.75" customHeight="1" spans="1:25">
      <c r="A247" s="362"/>
      <c r="B247" s="363"/>
      <c r="C247" s="364"/>
      <c r="D247" s="365"/>
      <c r="E247" s="375" t="str">
        <f>IF(D247="","",VLOOKUP(D247,'[4]Account Code'!$A$3:$D$273,2,0))</f>
        <v/>
      </c>
      <c r="F247" s="367"/>
      <c r="G247" s="368"/>
      <c r="H247" s="368"/>
      <c r="I247" s="369">
        <f>IFERROR(VLOOKUP(O247,[4]CREDITORS!A:B,2,0),"")</f>
        <v>0</v>
      </c>
      <c r="J247" s="370"/>
      <c r="K247" s="370"/>
      <c r="L247" s="371">
        <f t="shared" si="8"/>
        <v>22220976.69</v>
      </c>
      <c r="M247" s="376"/>
      <c r="N247" s="373"/>
      <c r="O247" s="113"/>
      <c r="P247" s="113"/>
      <c r="Q247" s="347">
        <f t="shared" si="9"/>
        <v>0</v>
      </c>
      <c r="R247" s="279"/>
      <c r="S247" s="279"/>
      <c r="T247" s="279"/>
      <c r="U247" s="279"/>
      <c r="V247" s="279"/>
      <c r="W247" s="279"/>
      <c r="X247" s="279"/>
      <c r="Y247" s="279"/>
    </row>
    <row r="248" s="103" customFormat="1" ht="24.75" customHeight="1" spans="1:25">
      <c r="A248" s="362"/>
      <c r="B248" s="363"/>
      <c r="C248" s="364"/>
      <c r="D248" s="365"/>
      <c r="E248" s="375" t="str">
        <f>IF(D248="","",VLOOKUP(D248,'[4]Account Code'!$A$3:$D$273,2,0))</f>
        <v/>
      </c>
      <c r="F248" s="367"/>
      <c r="G248" s="368"/>
      <c r="H248" s="368"/>
      <c r="I248" s="369">
        <f>IFERROR(VLOOKUP(O248,[4]CREDITORS!A:B,2,0),"")</f>
        <v>0</v>
      </c>
      <c r="J248" s="370"/>
      <c r="K248" s="370"/>
      <c r="L248" s="371">
        <f t="shared" si="8"/>
        <v>22220976.69</v>
      </c>
      <c r="M248" s="376"/>
      <c r="N248" s="373"/>
      <c r="O248" s="113"/>
      <c r="P248" s="113"/>
      <c r="Q248" s="347">
        <f t="shared" si="9"/>
        <v>0</v>
      </c>
      <c r="R248" s="279"/>
      <c r="S248" s="279"/>
      <c r="T248" s="279"/>
      <c r="U248" s="279"/>
      <c r="V248" s="279"/>
      <c r="W248" s="279"/>
      <c r="X248" s="279"/>
      <c r="Y248" s="279"/>
    </row>
    <row r="249" s="103" customFormat="1" ht="24.75" customHeight="1" spans="1:25">
      <c r="A249" s="362"/>
      <c r="B249" s="363"/>
      <c r="C249" s="364"/>
      <c r="D249" s="365"/>
      <c r="E249" s="375" t="str">
        <f>IF(D249="","",VLOOKUP(D249,'[4]Account Code'!$A$3:$D$273,2,0))</f>
        <v/>
      </c>
      <c r="F249" s="367"/>
      <c r="G249" s="368"/>
      <c r="H249" s="368"/>
      <c r="I249" s="369">
        <f>IFERROR(VLOOKUP(O249,[4]CREDITORS!A:B,2,0),"")</f>
        <v>0</v>
      </c>
      <c r="J249" s="370"/>
      <c r="K249" s="370"/>
      <c r="L249" s="371">
        <f t="shared" si="8"/>
        <v>22220976.69</v>
      </c>
      <c r="M249" s="376"/>
      <c r="N249" s="373"/>
      <c r="O249" s="113"/>
      <c r="P249" s="113"/>
      <c r="Q249" s="347">
        <f t="shared" si="9"/>
        <v>0</v>
      </c>
      <c r="R249" s="279"/>
      <c r="S249" s="384"/>
      <c r="T249" s="384"/>
      <c r="U249" s="279"/>
      <c r="V249" s="279"/>
      <c r="W249" s="279"/>
      <c r="X249" s="279"/>
      <c r="Y249" s="279"/>
    </row>
    <row r="250" s="103" customFormat="1" ht="24.75" customHeight="1" spans="1:25">
      <c r="A250" s="362"/>
      <c r="B250" s="363"/>
      <c r="C250" s="364"/>
      <c r="D250" s="365"/>
      <c r="E250" s="375" t="str">
        <f>IF(D250="","",VLOOKUP(D250,'[4]Account Code'!$A$3:$D$273,2,0))</f>
        <v/>
      </c>
      <c r="F250" s="367"/>
      <c r="G250" s="368"/>
      <c r="H250" s="368"/>
      <c r="I250" s="369">
        <f>IFERROR(VLOOKUP(O250,[4]CREDITORS!A:B,2,0),"")</f>
        <v>0</v>
      </c>
      <c r="J250" s="370"/>
      <c r="K250" s="370"/>
      <c r="L250" s="371">
        <f t="shared" si="8"/>
        <v>22220976.69</v>
      </c>
      <c r="M250" s="376"/>
      <c r="N250" s="373"/>
      <c r="O250" s="113"/>
      <c r="P250" s="113"/>
      <c r="Q250" s="347">
        <f t="shared" si="9"/>
        <v>0</v>
      </c>
      <c r="R250" s="279"/>
      <c r="S250" s="384"/>
      <c r="T250" s="384"/>
      <c r="U250" s="279"/>
      <c r="V250" s="279"/>
      <c r="W250" s="279"/>
      <c r="X250" s="279"/>
      <c r="Y250" s="279"/>
    </row>
    <row r="251" s="103" customFormat="1" ht="24.75" customHeight="1" spans="1:25">
      <c r="A251" s="362"/>
      <c r="B251" s="385"/>
      <c r="C251" s="364"/>
      <c r="D251" s="365"/>
      <c r="E251" s="375" t="str">
        <f>IF(D251="","",VLOOKUP(D251,'[4]Account Code'!$A$3:$D$273,2,0))</f>
        <v/>
      </c>
      <c r="F251" s="367"/>
      <c r="G251" s="368"/>
      <c r="H251" s="368"/>
      <c r="I251" s="369">
        <f>IFERROR(VLOOKUP(O251,[4]CREDITORS!A:B,2,0),"")</f>
        <v>0</v>
      </c>
      <c r="J251" s="370"/>
      <c r="K251" s="370"/>
      <c r="L251" s="371">
        <f t="shared" si="8"/>
        <v>22220976.69</v>
      </c>
      <c r="M251" s="376"/>
      <c r="N251" s="373"/>
      <c r="O251" s="113"/>
      <c r="P251" s="113"/>
      <c r="Q251" s="347">
        <f t="shared" si="9"/>
        <v>0</v>
      </c>
      <c r="R251" s="279"/>
      <c r="S251" s="384"/>
      <c r="T251" s="384"/>
      <c r="U251" s="279"/>
      <c r="V251" s="279"/>
      <c r="W251" s="279"/>
      <c r="X251" s="279"/>
      <c r="Y251" s="279"/>
    </row>
    <row r="252" s="103" customFormat="1" ht="24.75" customHeight="1" spans="1:25">
      <c r="A252" s="362"/>
      <c r="B252" s="385"/>
      <c r="C252" s="364"/>
      <c r="D252" s="365"/>
      <c r="E252" s="375" t="str">
        <f>IF(D252="","",VLOOKUP(D252,'[4]Account Code'!$A$3:$D$273,2,0))</f>
        <v/>
      </c>
      <c r="F252" s="367"/>
      <c r="G252" s="368"/>
      <c r="H252" s="368"/>
      <c r="I252" s="369">
        <f>IFERROR(VLOOKUP(O252,[4]CREDITORS!A:B,2,0),"")</f>
        <v>0</v>
      </c>
      <c r="J252" s="370"/>
      <c r="K252" s="370"/>
      <c r="L252" s="371">
        <f t="shared" si="8"/>
        <v>22220976.69</v>
      </c>
      <c r="M252" s="376"/>
      <c r="N252" s="373"/>
      <c r="O252" s="113"/>
      <c r="P252" s="113"/>
      <c r="Q252" s="347">
        <f t="shared" si="9"/>
        <v>0</v>
      </c>
      <c r="R252" s="279"/>
      <c r="S252" s="279"/>
      <c r="T252" s="279"/>
      <c r="U252" s="279"/>
      <c r="V252" s="279"/>
      <c r="W252" s="279"/>
      <c r="X252" s="279"/>
      <c r="Y252" s="279"/>
    </row>
    <row r="253" s="103" customFormat="1" ht="24.75" customHeight="1" spans="1:25">
      <c r="A253" s="362"/>
      <c r="B253" s="385"/>
      <c r="C253" s="364"/>
      <c r="D253" s="365"/>
      <c r="E253" s="375" t="str">
        <f>IF(D253="","",VLOOKUP(D253,'[4]Account Code'!$A$3:$D$273,2,0))</f>
        <v/>
      </c>
      <c r="F253" s="367"/>
      <c r="G253" s="368"/>
      <c r="H253" s="368"/>
      <c r="I253" s="369">
        <f>IFERROR(VLOOKUP(O253,[4]CREDITORS!A:B,2,0),"")</f>
        <v>0</v>
      </c>
      <c r="J253" s="370"/>
      <c r="K253" s="370"/>
      <c r="L253" s="371">
        <f t="shared" si="8"/>
        <v>22220976.69</v>
      </c>
      <c r="M253" s="376"/>
      <c r="N253" s="373"/>
      <c r="O253" s="113"/>
      <c r="P253" s="113"/>
      <c r="Q253" s="347">
        <f t="shared" si="9"/>
        <v>0</v>
      </c>
      <c r="R253" s="279"/>
      <c r="S253" s="384"/>
      <c r="T253" s="384"/>
      <c r="U253" s="279"/>
      <c r="V253" s="279"/>
      <c r="W253" s="279"/>
      <c r="X253" s="279"/>
      <c r="Y253" s="279"/>
    </row>
    <row r="254" s="103" customFormat="1" ht="24.75" customHeight="1" spans="1:25">
      <c r="A254" s="362"/>
      <c r="B254" s="385"/>
      <c r="C254" s="364"/>
      <c r="D254" s="365"/>
      <c r="E254" s="375" t="str">
        <f>IF(D254="","",VLOOKUP(D254,'[4]Account Code'!$A$3:$D$273,2,0))</f>
        <v/>
      </c>
      <c r="F254" s="367"/>
      <c r="G254" s="368"/>
      <c r="H254" s="368"/>
      <c r="I254" s="369">
        <f>IFERROR(VLOOKUP(O254,[4]CREDITORS!A:B,2,0),"")</f>
        <v>0</v>
      </c>
      <c r="J254" s="370"/>
      <c r="K254" s="370"/>
      <c r="L254" s="371">
        <f t="shared" si="8"/>
        <v>22220976.69</v>
      </c>
      <c r="M254" s="376"/>
      <c r="N254" s="373"/>
      <c r="O254" s="345"/>
      <c r="P254" s="113"/>
      <c r="Q254" s="347">
        <f t="shared" si="9"/>
        <v>0</v>
      </c>
      <c r="R254" s="279"/>
      <c r="S254" s="384"/>
      <c r="T254" s="384"/>
      <c r="U254" s="279"/>
      <c r="V254" s="279"/>
      <c r="W254" s="279"/>
      <c r="X254" s="279"/>
      <c r="Y254" s="279"/>
    </row>
    <row r="255" s="103" customFormat="1" ht="24.75" customHeight="1" spans="1:25">
      <c r="A255" s="362"/>
      <c r="B255" s="385"/>
      <c r="C255" s="364"/>
      <c r="D255" s="365"/>
      <c r="E255" s="375" t="str">
        <f>IF(D255="","",VLOOKUP(D255,'[4]Account Code'!$A$3:$D$273,2,0))</f>
        <v/>
      </c>
      <c r="F255" s="367"/>
      <c r="G255" s="368"/>
      <c r="H255" s="368"/>
      <c r="I255" s="369">
        <f>IFERROR(VLOOKUP(O255,[4]CREDITORS!A:B,2,0),"")</f>
        <v>0</v>
      </c>
      <c r="J255" s="370"/>
      <c r="K255" s="370"/>
      <c r="L255" s="371">
        <f t="shared" si="8"/>
        <v>22220976.69</v>
      </c>
      <c r="M255" s="376"/>
      <c r="N255" s="373"/>
      <c r="O255" s="345"/>
      <c r="P255" s="113"/>
      <c r="Q255" s="347">
        <f t="shared" si="9"/>
        <v>0</v>
      </c>
      <c r="R255" s="279"/>
      <c r="S255" s="384"/>
      <c r="T255" s="384"/>
      <c r="U255" s="279"/>
      <c r="V255" s="279"/>
      <c r="W255" s="279"/>
      <c r="X255" s="279"/>
      <c r="Y255" s="279"/>
    </row>
    <row r="256" s="103" customFormat="1" ht="24.75" customHeight="1" spans="1:25">
      <c r="A256" s="362"/>
      <c r="B256" s="385"/>
      <c r="C256" s="364"/>
      <c r="D256" s="365"/>
      <c r="E256" s="375" t="str">
        <f>IF(D256="","",VLOOKUP(D256,'[4]Account Code'!$A$3:$D$273,2,0))</f>
        <v/>
      </c>
      <c r="F256" s="367"/>
      <c r="G256" s="368"/>
      <c r="H256" s="368"/>
      <c r="I256" s="369">
        <f>IFERROR(VLOOKUP(O256,[4]CREDITORS!A:B,2,0),"")</f>
        <v>0</v>
      </c>
      <c r="J256" s="370"/>
      <c r="K256" s="370"/>
      <c r="L256" s="371">
        <f t="shared" si="8"/>
        <v>22220976.69</v>
      </c>
      <c r="M256" s="376"/>
      <c r="N256" s="373"/>
      <c r="O256" s="345"/>
      <c r="P256" s="113"/>
      <c r="Q256" s="347">
        <f t="shared" si="9"/>
        <v>0</v>
      </c>
      <c r="R256" s="279"/>
      <c r="S256" s="384"/>
      <c r="T256" s="384"/>
      <c r="U256" s="279"/>
      <c r="V256" s="279"/>
      <c r="W256" s="279"/>
      <c r="X256" s="279"/>
      <c r="Y256" s="279"/>
    </row>
    <row r="257" s="103" customFormat="1" ht="24.75" customHeight="1" spans="1:25">
      <c r="A257" s="362"/>
      <c r="B257" s="385"/>
      <c r="C257" s="364"/>
      <c r="D257" s="365"/>
      <c r="E257" s="375" t="str">
        <f>IF(D257="","",VLOOKUP(D257,'[4]Account Code'!$A$3:$D$273,2,0))</f>
        <v/>
      </c>
      <c r="F257" s="367"/>
      <c r="G257" s="368"/>
      <c r="H257" s="368"/>
      <c r="I257" s="369">
        <f>IFERROR(VLOOKUP(O257,[4]CREDITORS!A:B,2,0),"")</f>
        <v>0</v>
      </c>
      <c r="J257" s="370"/>
      <c r="K257" s="370"/>
      <c r="L257" s="371">
        <f t="shared" si="8"/>
        <v>22220976.69</v>
      </c>
      <c r="M257" s="376"/>
      <c r="N257" s="373"/>
      <c r="O257" s="345"/>
      <c r="P257" s="113"/>
      <c r="Q257" s="347">
        <f t="shared" si="9"/>
        <v>0</v>
      </c>
      <c r="R257" s="279"/>
      <c r="S257" s="279"/>
      <c r="T257" s="279"/>
      <c r="U257" s="279"/>
      <c r="V257" s="279"/>
      <c r="W257" s="279"/>
      <c r="X257" s="279"/>
      <c r="Y257" s="279"/>
    </row>
    <row r="258" s="103" customFormat="1" ht="24.75" customHeight="1" spans="1:25">
      <c r="A258" s="362"/>
      <c r="B258" s="385"/>
      <c r="C258" s="364"/>
      <c r="D258" s="365"/>
      <c r="E258" s="375" t="str">
        <f>IF(D258="","",VLOOKUP(D258,'[4]Account Code'!$A$3:$D$273,2,0))</f>
        <v/>
      </c>
      <c r="F258" s="367"/>
      <c r="G258" s="368"/>
      <c r="H258" s="368"/>
      <c r="I258" s="369">
        <f>IFERROR(VLOOKUP(O258,[4]CREDITORS!A:B,2,0),"")</f>
        <v>0</v>
      </c>
      <c r="J258" s="370"/>
      <c r="K258" s="370"/>
      <c r="L258" s="371">
        <f t="shared" si="8"/>
        <v>22220976.69</v>
      </c>
      <c r="M258" s="376"/>
      <c r="N258" s="373"/>
      <c r="O258" s="345"/>
      <c r="P258" s="113"/>
      <c r="Q258" s="347">
        <f t="shared" si="9"/>
        <v>0</v>
      </c>
      <c r="R258" s="279"/>
      <c r="S258" s="384"/>
      <c r="T258" s="384"/>
      <c r="U258" s="279"/>
      <c r="V258" s="279"/>
      <c r="W258" s="279"/>
      <c r="X258" s="279"/>
      <c r="Y258" s="279"/>
    </row>
    <row r="259" s="103" customFormat="1" ht="24.75" customHeight="1" spans="1:25">
      <c r="A259" s="362"/>
      <c r="B259" s="385"/>
      <c r="C259" s="364"/>
      <c r="D259" s="365"/>
      <c r="E259" s="375" t="str">
        <f>IF(D259="","",VLOOKUP(D259,'[4]Account Code'!$A$3:$D$273,2,0))</f>
        <v/>
      </c>
      <c r="F259" s="367"/>
      <c r="G259" s="368"/>
      <c r="H259" s="368"/>
      <c r="I259" s="369">
        <f>IFERROR(VLOOKUP(O259,[4]CREDITORS!A:B,2,0),"")</f>
        <v>0</v>
      </c>
      <c r="J259" s="370"/>
      <c r="K259" s="370"/>
      <c r="L259" s="371">
        <f t="shared" si="8"/>
        <v>22220976.69</v>
      </c>
      <c r="M259" s="376"/>
      <c r="N259" s="373"/>
      <c r="O259" s="113"/>
      <c r="P259" s="113"/>
      <c r="Q259" s="347">
        <f t="shared" si="9"/>
        <v>0</v>
      </c>
      <c r="R259" s="279"/>
      <c r="S259" s="279"/>
      <c r="T259" s="279"/>
      <c r="U259" s="279"/>
      <c r="V259" s="279"/>
      <c r="W259" s="279"/>
      <c r="X259" s="279"/>
      <c r="Y259" s="279"/>
    </row>
    <row r="260" s="103" customFormat="1" ht="24.75" customHeight="1" spans="1:25">
      <c r="A260" s="362"/>
      <c r="B260" s="385"/>
      <c r="C260" s="364"/>
      <c r="D260" s="365"/>
      <c r="E260" s="375" t="str">
        <f>IF(D260="","",VLOOKUP(D260,'[4]Account Code'!$A$3:$D$273,2,0))</f>
        <v/>
      </c>
      <c r="F260" s="367"/>
      <c r="G260" s="368"/>
      <c r="H260" s="368"/>
      <c r="I260" s="369">
        <f>IFERROR(VLOOKUP(O260,[4]CREDITORS!A:B,2,0),"")</f>
        <v>0</v>
      </c>
      <c r="J260" s="370"/>
      <c r="K260" s="370"/>
      <c r="L260" s="371">
        <f t="shared" si="8"/>
        <v>22220976.69</v>
      </c>
      <c r="M260" s="376"/>
      <c r="N260" s="373"/>
      <c r="O260" s="113"/>
      <c r="P260" s="113"/>
      <c r="Q260" s="347">
        <f t="shared" si="9"/>
        <v>0</v>
      </c>
      <c r="R260" s="279"/>
      <c r="S260" s="279"/>
      <c r="T260" s="279"/>
      <c r="U260" s="279"/>
      <c r="V260" s="279"/>
      <c r="W260" s="279"/>
      <c r="X260" s="279"/>
      <c r="Y260" s="279"/>
    </row>
    <row r="261" s="103" customFormat="1" ht="24.75" customHeight="1" spans="1:25">
      <c r="A261" s="362"/>
      <c r="B261" s="385"/>
      <c r="C261" s="364"/>
      <c r="D261" s="365"/>
      <c r="E261" s="375" t="str">
        <f>IF(D261="","",VLOOKUP(D261,'[4]Account Code'!$A$3:$D$273,2,0))</f>
        <v/>
      </c>
      <c r="F261" s="367"/>
      <c r="G261" s="368"/>
      <c r="H261" s="368"/>
      <c r="I261" s="369">
        <f>IFERROR(VLOOKUP(O261,[4]CREDITORS!A:B,2,0),"")</f>
        <v>0</v>
      </c>
      <c r="J261" s="370"/>
      <c r="K261" s="370"/>
      <c r="L261" s="371">
        <f t="shared" si="8"/>
        <v>22220976.69</v>
      </c>
      <c r="M261" s="376"/>
      <c r="N261" s="373"/>
      <c r="O261" s="113"/>
      <c r="P261" s="113"/>
      <c r="Q261" s="347">
        <f t="shared" si="9"/>
        <v>0</v>
      </c>
      <c r="R261" s="279"/>
      <c r="S261" s="279"/>
      <c r="T261" s="279"/>
      <c r="U261" s="279"/>
      <c r="V261" s="279"/>
      <c r="W261" s="279"/>
      <c r="X261" s="279"/>
      <c r="Y261" s="279"/>
    </row>
    <row r="262" s="103" customFormat="1" ht="24.75" customHeight="1" spans="1:25">
      <c r="A262" s="362"/>
      <c r="B262" s="385"/>
      <c r="C262" s="364"/>
      <c r="D262" s="365"/>
      <c r="E262" s="375" t="str">
        <f>IF(D262="","",VLOOKUP(D262,'[4]Account Code'!$A$3:$D$273,2,0))</f>
        <v/>
      </c>
      <c r="F262" s="367"/>
      <c r="G262" s="368"/>
      <c r="H262" s="368"/>
      <c r="I262" s="369">
        <f>IFERROR(VLOOKUP(O262,[4]CREDITORS!A:B,2,0),"")</f>
        <v>0</v>
      </c>
      <c r="J262" s="370"/>
      <c r="K262" s="370"/>
      <c r="L262" s="371">
        <f t="shared" si="8"/>
        <v>22220976.69</v>
      </c>
      <c r="M262" s="376"/>
      <c r="N262" s="373"/>
      <c r="O262" s="113"/>
      <c r="P262" s="113"/>
      <c r="Q262" s="347">
        <f t="shared" si="9"/>
        <v>0</v>
      </c>
      <c r="R262" s="279"/>
      <c r="S262" s="279"/>
      <c r="T262" s="279"/>
      <c r="U262" s="279"/>
      <c r="V262" s="279"/>
      <c r="W262" s="279"/>
      <c r="X262" s="279"/>
      <c r="Y262" s="279"/>
    </row>
    <row r="263" s="103" customFormat="1" ht="24.75" customHeight="1" spans="1:25">
      <c r="A263" s="362"/>
      <c r="B263" s="385"/>
      <c r="C263" s="364"/>
      <c r="D263" s="365"/>
      <c r="E263" s="375" t="str">
        <f>IF(D263="","",VLOOKUP(D263,'[4]Account Code'!$A$3:$D$273,2,0))</f>
        <v/>
      </c>
      <c r="F263" s="367"/>
      <c r="G263" s="368"/>
      <c r="H263" s="368"/>
      <c r="I263" s="369">
        <f>IFERROR(VLOOKUP(O263,[4]CREDITORS!A:B,2,0),"")</f>
        <v>0</v>
      </c>
      <c r="J263" s="370"/>
      <c r="K263" s="370"/>
      <c r="L263" s="371">
        <f t="shared" si="8"/>
        <v>22220976.69</v>
      </c>
      <c r="M263" s="376"/>
      <c r="N263" s="373"/>
      <c r="O263" s="113"/>
      <c r="P263" s="113"/>
      <c r="Q263" s="347">
        <f t="shared" si="9"/>
        <v>0</v>
      </c>
      <c r="R263" s="279"/>
      <c r="S263" s="279"/>
      <c r="T263" s="279"/>
      <c r="U263" s="279"/>
      <c r="V263" s="279"/>
      <c r="W263" s="279"/>
      <c r="X263" s="279"/>
      <c r="Y263" s="279"/>
    </row>
    <row r="264" s="103" customFormat="1" ht="24.75" customHeight="1" spans="1:25">
      <c r="A264" s="362"/>
      <c r="B264" s="385"/>
      <c r="C264" s="364"/>
      <c r="D264" s="365"/>
      <c r="E264" s="375" t="str">
        <f>IF(D264="","",VLOOKUP(D264,'[4]Account Code'!$A$3:$D$273,2,0))</f>
        <v/>
      </c>
      <c r="F264" s="367"/>
      <c r="G264" s="368"/>
      <c r="H264" s="368"/>
      <c r="I264" s="369">
        <f>IFERROR(VLOOKUP(O264,[4]CREDITORS!A:B,2,0),"")</f>
        <v>0</v>
      </c>
      <c r="J264" s="370"/>
      <c r="K264" s="370"/>
      <c r="L264" s="371">
        <f t="shared" si="8"/>
        <v>22220976.69</v>
      </c>
      <c r="M264" s="376"/>
      <c r="N264" s="373"/>
      <c r="O264" s="113"/>
      <c r="P264" s="113"/>
      <c r="Q264" s="347">
        <f t="shared" si="9"/>
        <v>0</v>
      </c>
      <c r="R264" s="279"/>
      <c r="S264" s="279"/>
      <c r="T264" s="279"/>
      <c r="U264" s="279"/>
      <c r="V264" s="279"/>
      <c r="W264" s="279"/>
      <c r="X264" s="279"/>
      <c r="Y264" s="279"/>
    </row>
    <row r="265" s="103" customFormat="1" ht="24.75" customHeight="1" spans="1:25">
      <c r="A265" s="362"/>
      <c r="B265" s="385"/>
      <c r="C265" s="364"/>
      <c r="D265" s="365"/>
      <c r="E265" s="375" t="str">
        <f>IF(D265="","",VLOOKUP(D265,'[4]Account Code'!$A$3:$D$273,2,0))</f>
        <v/>
      </c>
      <c r="F265" s="367"/>
      <c r="G265" s="368"/>
      <c r="H265" s="368"/>
      <c r="I265" s="369">
        <f>IFERROR(VLOOKUP(O265,[4]CREDITORS!A:B,2,0),"")</f>
        <v>0</v>
      </c>
      <c r="J265" s="370"/>
      <c r="K265" s="370"/>
      <c r="L265" s="371">
        <f t="shared" si="8"/>
        <v>22220976.69</v>
      </c>
      <c r="M265" s="376"/>
      <c r="N265" s="373"/>
      <c r="O265" s="113"/>
      <c r="P265" s="113"/>
      <c r="Q265" s="347">
        <f t="shared" si="9"/>
        <v>0</v>
      </c>
      <c r="R265" s="279"/>
      <c r="S265" s="279"/>
      <c r="T265" s="279"/>
      <c r="U265" s="279"/>
      <c r="V265" s="279"/>
      <c r="W265" s="279"/>
      <c r="X265" s="279"/>
      <c r="Y265" s="279"/>
    </row>
    <row r="266" s="103" customFormat="1" ht="24.75" customHeight="1" spans="1:25">
      <c r="A266" s="362"/>
      <c r="B266" s="385"/>
      <c r="C266" s="364"/>
      <c r="D266" s="365"/>
      <c r="E266" s="375" t="str">
        <f>IF(D266="","",VLOOKUP(D266,'[4]Account Code'!$A$3:$D$273,2,0))</f>
        <v/>
      </c>
      <c r="F266" s="367"/>
      <c r="G266" s="368"/>
      <c r="H266" s="368"/>
      <c r="I266" s="369">
        <f>IFERROR(VLOOKUP(O266,[4]CREDITORS!A:B,2,0),"")</f>
        <v>0</v>
      </c>
      <c r="J266" s="370"/>
      <c r="K266" s="370"/>
      <c r="L266" s="371">
        <f t="shared" si="8"/>
        <v>22220976.69</v>
      </c>
      <c r="M266" s="376"/>
      <c r="N266" s="373"/>
      <c r="O266" s="113"/>
      <c r="P266" s="113"/>
      <c r="Q266" s="347">
        <f t="shared" si="9"/>
        <v>0</v>
      </c>
      <c r="R266" s="279"/>
      <c r="S266" s="279"/>
      <c r="T266" s="279"/>
      <c r="U266" s="279"/>
      <c r="V266" s="279"/>
      <c r="W266" s="279"/>
      <c r="X266" s="279"/>
      <c r="Y266" s="279"/>
    </row>
    <row r="267" s="103" customFormat="1" ht="24.75" customHeight="1" spans="1:25">
      <c r="A267" s="362"/>
      <c r="B267" s="385"/>
      <c r="C267" s="364"/>
      <c r="D267" s="365"/>
      <c r="E267" s="375" t="str">
        <f>IF(D267="","",VLOOKUP(D267,'[4]Account Code'!$A$3:$D$273,2,0))</f>
        <v/>
      </c>
      <c r="F267" s="367"/>
      <c r="G267" s="368"/>
      <c r="H267" s="368"/>
      <c r="I267" s="369">
        <f>IFERROR(VLOOKUP(O267,[4]CREDITORS!A:B,2,0),"")</f>
        <v>0</v>
      </c>
      <c r="J267" s="370"/>
      <c r="K267" s="370"/>
      <c r="L267" s="371">
        <f t="shared" si="8"/>
        <v>22220976.69</v>
      </c>
      <c r="M267" s="376"/>
      <c r="N267" s="373"/>
      <c r="O267" s="113"/>
      <c r="P267" s="113"/>
      <c r="Q267" s="347">
        <f t="shared" si="9"/>
        <v>0</v>
      </c>
      <c r="R267" s="279"/>
      <c r="S267" s="279"/>
      <c r="T267" s="279"/>
      <c r="U267" s="279"/>
      <c r="V267" s="279"/>
      <c r="W267" s="279"/>
      <c r="X267" s="279"/>
      <c r="Y267" s="279"/>
    </row>
    <row r="268" s="103" customFormat="1" ht="24.75" customHeight="1" spans="1:25">
      <c r="A268" s="362"/>
      <c r="B268" s="386"/>
      <c r="C268" s="364"/>
      <c r="D268" s="365"/>
      <c r="E268" s="375" t="str">
        <f>IF(D268="","",VLOOKUP(D268,'[4]Account Code'!$A$3:$D$273,2,0))</f>
        <v/>
      </c>
      <c r="F268" s="367"/>
      <c r="G268" s="368"/>
      <c r="H268" s="368"/>
      <c r="I268" s="369">
        <f>IFERROR(VLOOKUP(O268,[4]CREDITORS!A:B,2,0),"")</f>
        <v>0</v>
      </c>
      <c r="J268" s="370"/>
      <c r="K268" s="370"/>
      <c r="L268" s="371">
        <f t="shared" ref="L268:L331" si="10">L267+J268-K268</f>
        <v>22220976.69</v>
      </c>
      <c r="M268" s="376"/>
      <c r="N268" s="373"/>
      <c r="O268" s="113"/>
      <c r="P268" s="113"/>
      <c r="Q268" s="347">
        <f t="shared" si="9"/>
        <v>0</v>
      </c>
      <c r="R268" s="279"/>
      <c r="S268" s="279"/>
      <c r="T268" s="279"/>
      <c r="U268" s="279"/>
      <c r="V268" s="279"/>
      <c r="W268" s="279"/>
      <c r="X268" s="279"/>
      <c r="Y268" s="279"/>
    </row>
    <row r="269" s="103" customFormat="1" ht="24.75" customHeight="1" spans="1:25">
      <c r="A269" s="362"/>
      <c r="B269" s="386"/>
      <c r="C269" s="387"/>
      <c r="D269" s="365"/>
      <c r="E269" s="375" t="str">
        <f>IF(D269="","",VLOOKUP(D269,'[4]Account Code'!$A$3:$D$273,2,0))</f>
        <v/>
      </c>
      <c r="F269" s="367"/>
      <c r="G269" s="368"/>
      <c r="H269" s="368"/>
      <c r="I269" s="369">
        <f>IFERROR(VLOOKUP(O269,[4]CREDITORS!A:B,2,0),"")</f>
        <v>0</v>
      </c>
      <c r="J269" s="370"/>
      <c r="K269" s="370"/>
      <c r="L269" s="371">
        <f t="shared" si="10"/>
        <v>22220976.69</v>
      </c>
      <c r="M269" s="376"/>
      <c r="N269" s="373"/>
      <c r="O269" s="113"/>
      <c r="P269" s="113"/>
      <c r="Q269" s="347">
        <f t="shared" si="9"/>
        <v>0</v>
      </c>
      <c r="R269" s="279"/>
      <c r="S269" s="104"/>
      <c r="T269" s="104"/>
      <c r="U269" s="279"/>
      <c r="V269" s="279"/>
      <c r="W269" s="279"/>
      <c r="X269" s="279"/>
      <c r="Y269" s="279"/>
    </row>
    <row r="270" s="103" customFormat="1" ht="24.75" customHeight="1" spans="1:25">
      <c r="A270" s="362"/>
      <c r="B270" s="386"/>
      <c r="C270" s="387"/>
      <c r="D270" s="365"/>
      <c r="E270" s="375" t="str">
        <f>IF(D270="","",VLOOKUP(D270,'[4]Account Code'!$A$3:$D$273,2,0))</f>
        <v/>
      </c>
      <c r="F270" s="367"/>
      <c r="G270" s="368"/>
      <c r="H270" s="368"/>
      <c r="I270" s="369">
        <f>IFERROR(VLOOKUP(O270,[4]CREDITORS!A:B,2,0),"")</f>
        <v>0</v>
      </c>
      <c r="J270" s="370"/>
      <c r="K270" s="370"/>
      <c r="L270" s="371">
        <f t="shared" si="10"/>
        <v>22220976.69</v>
      </c>
      <c r="M270" s="376"/>
      <c r="N270" s="373"/>
      <c r="O270" s="113"/>
      <c r="P270" s="113"/>
      <c r="Q270" s="347">
        <f t="shared" si="9"/>
        <v>0</v>
      </c>
      <c r="R270" s="279"/>
      <c r="S270" s="104"/>
      <c r="T270" s="104"/>
      <c r="U270" s="279"/>
      <c r="V270" s="279"/>
      <c r="W270" s="279"/>
      <c r="X270" s="279"/>
      <c r="Y270" s="279"/>
    </row>
    <row r="271" s="103" customFormat="1" ht="24.75" customHeight="1" spans="1:25">
      <c r="A271" s="362"/>
      <c r="B271" s="386"/>
      <c r="C271" s="387"/>
      <c r="D271" s="365"/>
      <c r="E271" s="375" t="str">
        <f>IF(D271="","",VLOOKUP(D271,'[4]Account Code'!$A$3:$D$273,2,0))</f>
        <v/>
      </c>
      <c r="F271" s="367"/>
      <c r="G271" s="368"/>
      <c r="H271" s="368"/>
      <c r="I271" s="369">
        <f>IFERROR(VLOOKUP(O271,[4]CREDITORS!A:B,2,0),"")</f>
        <v>0</v>
      </c>
      <c r="J271" s="370"/>
      <c r="K271" s="370"/>
      <c r="L271" s="371">
        <f t="shared" si="10"/>
        <v>22220976.69</v>
      </c>
      <c r="M271" s="376"/>
      <c r="N271" s="373"/>
      <c r="O271" s="113"/>
      <c r="P271" s="113"/>
      <c r="Q271" s="347">
        <f t="shared" si="9"/>
        <v>0</v>
      </c>
      <c r="R271" s="279"/>
      <c r="S271" s="104"/>
      <c r="T271" s="104"/>
      <c r="U271" s="279"/>
      <c r="V271" s="279"/>
      <c r="W271" s="279"/>
      <c r="X271" s="279"/>
      <c r="Y271" s="279"/>
    </row>
    <row r="272" s="103" customFormat="1" ht="24.75" customHeight="1" spans="1:25">
      <c r="A272" s="362"/>
      <c r="B272" s="386"/>
      <c r="C272" s="387"/>
      <c r="D272" s="365"/>
      <c r="E272" s="375" t="str">
        <f>IF(D272="","",VLOOKUP(D272,'[4]Account Code'!$A$3:$D$273,2,0))</f>
        <v/>
      </c>
      <c r="F272" s="367"/>
      <c r="G272" s="368"/>
      <c r="H272" s="368"/>
      <c r="I272" s="369">
        <f>IFERROR(VLOOKUP(O272,[4]CREDITORS!A:B,2,0),"")</f>
        <v>0</v>
      </c>
      <c r="J272" s="370"/>
      <c r="K272" s="370"/>
      <c r="L272" s="371">
        <f t="shared" si="10"/>
        <v>22220976.69</v>
      </c>
      <c r="M272" s="376"/>
      <c r="N272" s="373"/>
      <c r="O272" s="113"/>
      <c r="P272" s="113"/>
      <c r="Q272" s="347">
        <f t="shared" si="9"/>
        <v>0</v>
      </c>
      <c r="R272" s="279"/>
      <c r="S272" s="104"/>
      <c r="T272" s="104"/>
      <c r="U272" s="279"/>
      <c r="V272" s="279"/>
      <c r="W272" s="279"/>
      <c r="X272" s="279"/>
      <c r="Y272" s="279"/>
    </row>
    <row r="273" s="103" customFormat="1" ht="24.75" customHeight="1" spans="1:25">
      <c r="A273" s="362"/>
      <c r="B273" s="386"/>
      <c r="C273" s="387"/>
      <c r="D273" s="365"/>
      <c r="E273" s="375" t="str">
        <f>IF(D273="","",VLOOKUP(D273,'[4]Account Code'!$A$3:$D$273,2,0))</f>
        <v/>
      </c>
      <c r="F273" s="367"/>
      <c r="G273" s="368"/>
      <c r="H273" s="368"/>
      <c r="I273" s="369">
        <f>IFERROR(VLOOKUP(O273,[4]CREDITORS!A:B,2,0),"")</f>
        <v>0</v>
      </c>
      <c r="J273" s="370"/>
      <c r="K273" s="370"/>
      <c r="L273" s="371">
        <f t="shared" si="10"/>
        <v>22220976.69</v>
      </c>
      <c r="M273" s="376"/>
      <c r="N273" s="373"/>
      <c r="O273" s="113"/>
      <c r="P273" s="113"/>
      <c r="Q273" s="347">
        <f t="shared" si="9"/>
        <v>0</v>
      </c>
      <c r="R273" s="279"/>
      <c r="S273" s="104"/>
      <c r="T273" s="104"/>
      <c r="U273" s="279"/>
      <c r="V273" s="279"/>
      <c r="W273" s="279"/>
      <c r="X273" s="279"/>
      <c r="Y273" s="279"/>
    </row>
    <row r="274" s="103" customFormat="1" ht="24.75" customHeight="1" spans="1:25">
      <c r="A274" s="362"/>
      <c r="B274" s="386"/>
      <c r="C274" s="387"/>
      <c r="D274" s="365"/>
      <c r="E274" s="375" t="str">
        <f>IF(D274="","",VLOOKUP(D274,'[4]Account Code'!$A$3:$D$273,2,0))</f>
        <v/>
      </c>
      <c r="F274" s="367"/>
      <c r="G274" s="368"/>
      <c r="H274" s="368"/>
      <c r="I274" s="369">
        <f>IFERROR(VLOOKUP(O274,[4]CREDITORS!A:B,2,0),"")</f>
        <v>0</v>
      </c>
      <c r="J274" s="370"/>
      <c r="K274" s="370"/>
      <c r="L274" s="371">
        <f t="shared" si="10"/>
        <v>22220976.69</v>
      </c>
      <c r="M274" s="376"/>
      <c r="N274" s="373"/>
      <c r="O274" s="113"/>
      <c r="P274" s="113"/>
      <c r="Q274" s="347">
        <f t="shared" si="9"/>
        <v>0</v>
      </c>
      <c r="R274" s="279"/>
      <c r="S274" s="104"/>
      <c r="T274" s="104"/>
      <c r="U274" s="279"/>
      <c r="V274" s="279"/>
      <c r="W274" s="279"/>
      <c r="X274" s="279"/>
      <c r="Y274" s="279"/>
    </row>
    <row r="275" s="103" customFormat="1" ht="24.75" customHeight="1" spans="1:25">
      <c r="A275" s="362"/>
      <c r="B275" s="386"/>
      <c r="C275" s="387"/>
      <c r="D275" s="365"/>
      <c r="E275" s="375" t="str">
        <f>IF(D275="","",VLOOKUP(D275,'[4]Account Code'!$A$3:$D$273,2,0))</f>
        <v/>
      </c>
      <c r="F275" s="367"/>
      <c r="G275" s="368"/>
      <c r="H275" s="368"/>
      <c r="I275" s="369">
        <f>IFERROR(VLOOKUP(O275,[4]CREDITORS!A:B,2,0),"")</f>
        <v>0</v>
      </c>
      <c r="J275" s="370"/>
      <c r="K275" s="370"/>
      <c r="L275" s="371">
        <f t="shared" si="10"/>
        <v>22220976.69</v>
      </c>
      <c r="M275" s="376"/>
      <c r="N275" s="373"/>
      <c r="O275" s="113"/>
      <c r="P275" s="113"/>
      <c r="Q275" s="347">
        <f t="shared" si="9"/>
        <v>0</v>
      </c>
      <c r="R275" s="279"/>
      <c r="S275" s="104"/>
      <c r="T275" s="104"/>
      <c r="U275" s="279"/>
      <c r="V275" s="279"/>
      <c r="W275" s="279"/>
      <c r="X275" s="279"/>
      <c r="Y275" s="279"/>
    </row>
    <row r="276" s="103" customFormat="1" ht="24.75" customHeight="1" spans="1:25">
      <c r="A276" s="362"/>
      <c r="B276" s="386"/>
      <c r="C276" s="387"/>
      <c r="D276" s="365"/>
      <c r="E276" s="375" t="str">
        <f>IF(D276="","",VLOOKUP(D276,'[4]Account Code'!$A$3:$D$273,2,0))</f>
        <v/>
      </c>
      <c r="F276" s="367"/>
      <c r="G276" s="368"/>
      <c r="H276" s="368"/>
      <c r="I276" s="369">
        <f>IFERROR(VLOOKUP(O276,[4]CREDITORS!A:B,2,0),"")</f>
        <v>0</v>
      </c>
      <c r="J276" s="370"/>
      <c r="K276" s="370"/>
      <c r="L276" s="371">
        <f t="shared" si="10"/>
        <v>22220976.69</v>
      </c>
      <c r="M276" s="376"/>
      <c r="N276" s="373"/>
      <c r="O276" s="113"/>
      <c r="P276" s="113"/>
      <c r="Q276" s="347">
        <f t="shared" si="9"/>
        <v>0</v>
      </c>
      <c r="R276" s="279"/>
      <c r="S276" s="104"/>
      <c r="T276" s="104"/>
      <c r="U276" s="279"/>
      <c r="V276" s="279"/>
      <c r="W276" s="279"/>
      <c r="X276" s="279"/>
      <c r="Y276" s="279"/>
    </row>
    <row r="277" s="103" customFormat="1" ht="24.75" customHeight="1" spans="1:25">
      <c r="A277" s="362"/>
      <c r="B277" s="386"/>
      <c r="C277" s="387"/>
      <c r="D277" s="365"/>
      <c r="E277" s="375" t="str">
        <f>IF(D277="","",VLOOKUP(D277,'[4]Account Code'!$A$3:$D$273,2,0))</f>
        <v/>
      </c>
      <c r="F277" s="367"/>
      <c r="G277" s="368"/>
      <c r="H277" s="368"/>
      <c r="I277" s="369">
        <f>IFERROR(VLOOKUP(O277,[4]CREDITORS!A:B,2,0),"")</f>
        <v>0</v>
      </c>
      <c r="J277" s="370"/>
      <c r="K277" s="370"/>
      <c r="L277" s="371">
        <f t="shared" si="10"/>
        <v>22220976.69</v>
      </c>
      <c r="M277" s="376"/>
      <c r="N277" s="373"/>
      <c r="O277" s="113"/>
      <c r="P277" s="113"/>
      <c r="Q277" s="347">
        <f t="shared" si="9"/>
        <v>0</v>
      </c>
      <c r="R277" s="279"/>
      <c r="S277" s="104"/>
      <c r="T277" s="104"/>
      <c r="U277" s="279"/>
      <c r="V277" s="279"/>
      <c r="W277" s="279"/>
      <c r="X277" s="279"/>
      <c r="Y277" s="279"/>
    </row>
    <row r="278" s="103" customFormat="1" ht="24.75" customHeight="1" spans="1:25">
      <c r="A278" s="362"/>
      <c r="B278" s="386"/>
      <c r="C278" s="387"/>
      <c r="D278" s="365"/>
      <c r="E278" s="375" t="str">
        <f>IF(D278="","",VLOOKUP(D278,'[4]Account Code'!$A$3:$D$273,2,0))</f>
        <v/>
      </c>
      <c r="F278" s="367"/>
      <c r="G278" s="368"/>
      <c r="H278" s="368"/>
      <c r="I278" s="369">
        <f>IFERROR(VLOOKUP(O278,[4]CREDITORS!A:B,2,0),"")</f>
        <v>0</v>
      </c>
      <c r="J278" s="370"/>
      <c r="K278" s="370"/>
      <c r="L278" s="371">
        <f t="shared" si="10"/>
        <v>22220976.69</v>
      </c>
      <c r="M278" s="376"/>
      <c r="N278" s="373"/>
      <c r="O278" s="113"/>
      <c r="P278" s="113"/>
      <c r="Q278" s="347">
        <f t="shared" si="9"/>
        <v>0</v>
      </c>
      <c r="R278" s="279"/>
      <c r="S278" s="104"/>
      <c r="T278" s="104"/>
      <c r="U278" s="279"/>
      <c r="V278" s="279"/>
      <c r="W278" s="279"/>
      <c r="X278" s="279"/>
      <c r="Y278" s="279"/>
    </row>
    <row r="279" s="103" customFormat="1" ht="24.75" customHeight="1" spans="1:25">
      <c r="A279" s="362"/>
      <c r="B279" s="386"/>
      <c r="C279" s="387"/>
      <c r="D279" s="365"/>
      <c r="E279" s="375" t="str">
        <f>IF(D279="","",VLOOKUP(D279,'[4]Account Code'!$A$3:$D$273,2,0))</f>
        <v/>
      </c>
      <c r="F279" s="367"/>
      <c r="G279" s="368"/>
      <c r="H279" s="368"/>
      <c r="I279" s="369">
        <f>IFERROR(VLOOKUP(O279,[4]CREDITORS!A:B,2,0),"")</f>
        <v>0</v>
      </c>
      <c r="J279" s="370"/>
      <c r="K279" s="370"/>
      <c r="L279" s="371">
        <f t="shared" si="10"/>
        <v>22220976.69</v>
      </c>
      <c r="M279" s="376"/>
      <c r="N279" s="373"/>
      <c r="O279" s="113"/>
      <c r="P279" s="113"/>
      <c r="Q279" s="347">
        <f t="shared" si="9"/>
        <v>0</v>
      </c>
      <c r="R279" s="279"/>
      <c r="S279" s="104"/>
      <c r="T279" s="104"/>
      <c r="U279" s="279"/>
      <c r="V279" s="279"/>
      <c r="W279" s="279"/>
      <c r="X279" s="279"/>
      <c r="Y279" s="279"/>
    </row>
    <row r="280" s="103" customFormat="1" ht="24.75" customHeight="1" spans="1:25">
      <c r="A280" s="362"/>
      <c r="B280" s="386"/>
      <c r="C280" s="387"/>
      <c r="D280" s="365"/>
      <c r="E280" s="375" t="str">
        <f>IF(D280="","",VLOOKUP(D280,'[4]Account Code'!$A$3:$D$273,2,0))</f>
        <v/>
      </c>
      <c r="F280" s="367"/>
      <c r="G280" s="368"/>
      <c r="H280" s="368"/>
      <c r="I280" s="369">
        <f>IFERROR(VLOOKUP(O280,[4]CREDITORS!A:B,2,0),"")</f>
        <v>0</v>
      </c>
      <c r="J280" s="370"/>
      <c r="K280" s="370"/>
      <c r="L280" s="371">
        <f t="shared" si="10"/>
        <v>22220976.69</v>
      </c>
      <c r="M280" s="376"/>
      <c r="N280" s="373"/>
      <c r="O280" s="113"/>
      <c r="P280" s="113"/>
      <c r="Q280" s="347">
        <f t="shared" si="9"/>
        <v>0</v>
      </c>
      <c r="R280" s="279"/>
      <c r="S280" s="104"/>
      <c r="T280" s="104"/>
      <c r="U280" s="279"/>
      <c r="V280" s="279"/>
      <c r="W280" s="279"/>
      <c r="X280" s="279"/>
      <c r="Y280" s="279"/>
    </row>
    <row r="281" s="103" customFormat="1" ht="24.75" customHeight="1" spans="1:25">
      <c r="A281" s="362"/>
      <c r="B281" s="386"/>
      <c r="C281" s="387"/>
      <c r="D281" s="365"/>
      <c r="E281" s="375" t="str">
        <f>IF(D281="","",VLOOKUP(D281,'[4]Account Code'!$A$3:$D$273,2,0))</f>
        <v/>
      </c>
      <c r="F281" s="367"/>
      <c r="G281" s="368"/>
      <c r="H281" s="368"/>
      <c r="I281" s="369">
        <f>IFERROR(VLOOKUP(O281,[4]CREDITORS!A:B,2,0),"")</f>
        <v>0</v>
      </c>
      <c r="J281" s="370"/>
      <c r="K281" s="370"/>
      <c r="L281" s="371">
        <f t="shared" si="10"/>
        <v>22220976.69</v>
      </c>
      <c r="M281" s="376"/>
      <c r="N281" s="373"/>
      <c r="O281" s="113"/>
      <c r="P281" s="113"/>
      <c r="Q281" s="347">
        <f t="shared" si="9"/>
        <v>0</v>
      </c>
      <c r="R281" s="279"/>
      <c r="S281" s="104"/>
      <c r="T281" s="104"/>
      <c r="U281" s="279"/>
      <c r="V281" s="279"/>
      <c r="W281" s="279"/>
      <c r="X281" s="279"/>
      <c r="Y281" s="279"/>
    </row>
    <row r="282" s="103" customFormat="1" ht="24.75" customHeight="1" spans="1:25">
      <c r="A282" s="362"/>
      <c r="B282" s="386"/>
      <c r="C282" s="387"/>
      <c r="D282" s="365"/>
      <c r="E282" s="375" t="str">
        <f>IF(D282="","",VLOOKUP(D282,'[4]Account Code'!$A$3:$D$273,2,0))</f>
        <v/>
      </c>
      <c r="F282" s="367"/>
      <c r="G282" s="368"/>
      <c r="H282" s="368"/>
      <c r="I282" s="369">
        <f>IFERROR(VLOOKUP(O282,[4]CREDITORS!A:B,2,0),"")</f>
        <v>0</v>
      </c>
      <c r="J282" s="370"/>
      <c r="K282" s="370"/>
      <c r="L282" s="371">
        <f t="shared" si="10"/>
        <v>22220976.69</v>
      </c>
      <c r="M282" s="376"/>
      <c r="N282" s="373"/>
      <c r="O282" s="113"/>
      <c r="P282" s="113"/>
      <c r="Q282" s="347">
        <f t="shared" si="9"/>
        <v>0</v>
      </c>
      <c r="R282" s="279"/>
      <c r="S282" s="104"/>
      <c r="T282" s="104"/>
      <c r="U282" s="279"/>
      <c r="V282" s="279"/>
      <c r="W282" s="279"/>
      <c r="X282" s="279"/>
      <c r="Y282" s="279"/>
    </row>
    <row r="283" s="103" customFormat="1" ht="24.75" customHeight="1" spans="1:25">
      <c r="A283" s="362"/>
      <c r="B283" s="386"/>
      <c r="C283" s="387"/>
      <c r="D283" s="365"/>
      <c r="E283" s="375" t="str">
        <f>IF(D283="","",VLOOKUP(D283,'[4]Account Code'!$A$3:$D$273,2,0))</f>
        <v/>
      </c>
      <c r="F283" s="367"/>
      <c r="G283" s="368"/>
      <c r="H283" s="368"/>
      <c r="I283" s="369">
        <f>IFERROR(VLOOKUP(O283,[4]CREDITORS!A:B,2,0),"")</f>
        <v>0</v>
      </c>
      <c r="J283" s="370"/>
      <c r="K283" s="370"/>
      <c r="L283" s="371">
        <f t="shared" si="10"/>
        <v>22220976.69</v>
      </c>
      <c r="M283" s="376"/>
      <c r="N283" s="373"/>
      <c r="O283" s="113"/>
      <c r="P283" s="113"/>
      <c r="Q283" s="347">
        <f t="shared" si="9"/>
        <v>0</v>
      </c>
      <c r="R283" s="279"/>
      <c r="S283" s="104"/>
      <c r="T283" s="104"/>
      <c r="U283" s="279"/>
      <c r="V283" s="279"/>
      <c r="W283" s="279"/>
      <c r="X283" s="279"/>
      <c r="Y283" s="279"/>
    </row>
    <row r="284" s="103" customFormat="1" ht="24.75" customHeight="1" spans="1:25">
      <c r="A284" s="362"/>
      <c r="B284" s="386"/>
      <c r="C284" s="387"/>
      <c r="D284" s="365"/>
      <c r="E284" s="375" t="str">
        <f>IF(D284="","",VLOOKUP(D284,'[4]Account Code'!$A$3:$D$273,2,0))</f>
        <v/>
      </c>
      <c r="F284" s="367"/>
      <c r="G284" s="368"/>
      <c r="H284" s="368"/>
      <c r="I284" s="369">
        <f>IFERROR(VLOOKUP(O284,[4]CREDITORS!A:B,2,0),"")</f>
        <v>0</v>
      </c>
      <c r="J284" s="370"/>
      <c r="K284" s="370"/>
      <c r="L284" s="371">
        <f t="shared" si="10"/>
        <v>22220976.69</v>
      </c>
      <c r="M284" s="376"/>
      <c r="N284" s="373"/>
      <c r="O284" s="113"/>
      <c r="P284" s="113"/>
      <c r="Q284" s="347">
        <f t="shared" si="9"/>
        <v>0</v>
      </c>
      <c r="R284" s="279"/>
      <c r="S284" s="104"/>
      <c r="T284" s="104"/>
      <c r="U284" s="279"/>
      <c r="V284" s="279"/>
      <c r="W284" s="279"/>
      <c r="X284" s="279"/>
      <c r="Y284" s="279"/>
    </row>
    <row r="285" s="103" customFormat="1" ht="24.75" customHeight="1" spans="1:25">
      <c r="A285" s="362"/>
      <c r="B285" s="386"/>
      <c r="C285" s="387"/>
      <c r="D285" s="365"/>
      <c r="E285" s="375" t="str">
        <f>IF(D285="","",VLOOKUP(D285,'[4]Account Code'!$A$3:$D$273,2,0))</f>
        <v/>
      </c>
      <c r="F285" s="367"/>
      <c r="G285" s="368"/>
      <c r="H285" s="368"/>
      <c r="I285" s="369">
        <f>IFERROR(VLOOKUP(O285,[4]CREDITORS!A:B,2,0),"")</f>
        <v>0</v>
      </c>
      <c r="J285" s="370"/>
      <c r="K285" s="370"/>
      <c r="L285" s="371">
        <f t="shared" si="10"/>
        <v>22220976.69</v>
      </c>
      <c r="M285" s="376"/>
      <c r="N285" s="373"/>
      <c r="O285" s="113"/>
      <c r="P285" s="113"/>
      <c r="Q285" s="347">
        <f t="shared" si="9"/>
        <v>0</v>
      </c>
      <c r="R285" s="279"/>
      <c r="S285" s="104"/>
      <c r="T285" s="104"/>
      <c r="U285" s="279"/>
      <c r="V285" s="279"/>
      <c r="W285" s="279"/>
      <c r="X285" s="279"/>
      <c r="Y285" s="279"/>
    </row>
    <row r="286" s="103" customFormat="1" ht="24.75" customHeight="1" spans="1:25">
      <c r="A286" s="362"/>
      <c r="B286" s="386"/>
      <c r="C286" s="387"/>
      <c r="D286" s="365"/>
      <c r="E286" s="375" t="str">
        <f>IF(D286="","",VLOOKUP(D286,'[4]Account Code'!$A$3:$D$273,2,0))</f>
        <v/>
      </c>
      <c r="F286" s="367"/>
      <c r="G286" s="368"/>
      <c r="H286" s="368"/>
      <c r="I286" s="369">
        <f>IFERROR(VLOOKUP(O286,[4]CREDITORS!A:B,2,0),"")</f>
        <v>0</v>
      </c>
      <c r="J286" s="370"/>
      <c r="K286" s="370"/>
      <c r="L286" s="371">
        <f t="shared" si="10"/>
        <v>22220976.69</v>
      </c>
      <c r="M286" s="376"/>
      <c r="N286" s="373"/>
      <c r="O286" s="113"/>
      <c r="P286" s="113"/>
      <c r="Q286" s="347">
        <f t="shared" si="9"/>
        <v>0</v>
      </c>
      <c r="R286" s="279"/>
      <c r="S286" s="104"/>
      <c r="T286" s="104"/>
      <c r="U286" s="279"/>
      <c r="V286" s="279"/>
      <c r="W286" s="279"/>
      <c r="X286" s="279"/>
      <c r="Y286" s="279"/>
    </row>
    <row r="287" s="103" customFormat="1" ht="24.75" customHeight="1" spans="1:25">
      <c r="A287" s="362"/>
      <c r="B287" s="386"/>
      <c r="C287" s="387"/>
      <c r="D287" s="365"/>
      <c r="E287" s="375" t="str">
        <f>IF(D287="","",VLOOKUP(D287,'[4]Account Code'!$A$3:$D$273,2,0))</f>
        <v/>
      </c>
      <c r="F287" s="367"/>
      <c r="G287" s="368"/>
      <c r="H287" s="368"/>
      <c r="I287" s="369">
        <f>IFERROR(VLOOKUP(O287,[4]CREDITORS!A:B,2,0),"")</f>
        <v>0</v>
      </c>
      <c r="J287" s="370"/>
      <c r="K287" s="370"/>
      <c r="L287" s="371">
        <f t="shared" si="10"/>
        <v>22220976.69</v>
      </c>
      <c r="M287" s="376"/>
      <c r="N287" s="373"/>
      <c r="O287" s="113"/>
      <c r="P287" s="113"/>
      <c r="Q287" s="347">
        <f t="shared" si="9"/>
        <v>0</v>
      </c>
      <c r="R287" s="279"/>
      <c r="S287" s="104"/>
      <c r="T287" s="104"/>
      <c r="U287" s="279"/>
      <c r="V287" s="279"/>
      <c r="W287" s="279"/>
      <c r="X287" s="279"/>
      <c r="Y287" s="279"/>
    </row>
    <row r="288" s="103" customFormat="1" ht="24.75" customHeight="1" spans="1:25">
      <c r="A288" s="362"/>
      <c r="B288" s="386"/>
      <c r="C288" s="387"/>
      <c r="D288" s="365"/>
      <c r="E288" s="375" t="str">
        <f>IF(D288="","",VLOOKUP(D288,'[4]Account Code'!$A$3:$D$273,2,0))</f>
        <v/>
      </c>
      <c r="F288" s="367"/>
      <c r="G288" s="368"/>
      <c r="H288" s="368"/>
      <c r="I288" s="369">
        <f>IFERROR(VLOOKUP(O288,[4]CREDITORS!A:B,2,0),"")</f>
        <v>0</v>
      </c>
      <c r="J288" s="370"/>
      <c r="K288" s="370"/>
      <c r="L288" s="371">
        <f t="shared" si="10"/>
        <v>22220976.69</v>
      </c>
      <c r="M288" s="376"/>
      <c r="N288" s="373"/>
      <c r="O288" s="113"/>
      <c r="P288" s="113"/>
      <c r="Q288" s="347">
        <f t="shared" si="9"/>
        <v>0</v>
      </c>
      <c r="R288" s="279"/>
      <c r="S288" s="104"/>
      <c r="T288" s="104"/>
      <c r="U288" s="279"/>
      <c r="V288" s="279"/>
      <c r="W288" s="279"/>
      <c r="X288" s="279"/>
      <c r="Y288" s="279"/>
    </row>
    <row r="289" s="103" customFormat="1" ht="24.75" customHeight="1" spans="1:25">
      <c r="A289" s="362"/>
      <c r="B289" s="386"/>
      <c r="C289" s="387"/>
      <c r="D289" s="365"/>
      <c r="E289" s="375" t="str">
        <f>IF(D289="","",VLOOKUP(D289,'[4]Account Code'!$A$3:$D$273,2,0))</f>
        <v/>
      </c>
      <c r="F289" s="367"/>
      <c r="G289" s="368"/>
      <c r="H289" s="368"/>
      <c r="I289" s="369">
        <f>IFERROR(VLOOKUP(O289,[4]CREDITORS!A:B,2,0),"")</f>
        <v>0</v>
      </c>
      <c r="J289" s="370"/>
      <c r="K289" s="370"/>
      <c r="L289" s="371">
        <f t="shared" si="10"/>
        <v>22220976.69</v>
      </c>
      <c r="M289" s="376"/>
      <c r="N289" s="373"/>
      <c r="O289" s="113"/>
      <c r="P289" s="113"/>
      <c r="Q289" s="347">
        <f t="shared" si="9"/>
        <v>0</v>
      </c>
      <c r="R289" s="279"/>
      <c r="S289" s="104"/>
      <c r="T289" s="104"/>
      <c r="U289" s="279"/>
      <c r="V289" s="279"/>
      <c r="W289" s="279"/>
      <c r="X289" s="279"/>
      <c r="Y289" s="279"/>
    </row>
    <row r="290" s="103" customFormat="1" ht="24.75" customHeight="1" spans="1:25">
      <c r="A290" s="362"/>
      <c r="B290" s="386"/>
      <c r="C290" s="387"/>
      <c r="D290" s="365"/>
      <c r="E290" s="375" t="str">
        <f>IF(D290="","",VLOOKUP(D290,'[4]Account Code'!$A$3:$D$273,2,0))</f>
        <v/>
      </c>
      <c r="F290" s="367"/>
      <c r="G290" s="368"/>
      <c r="H290" s="368"/>
      <c r="I290" s="369">
        <f>IFERROR(VLOOKUP(O290,[4]CREDITORS!A:B,2,0),"")</f>
        <v>0</v>
      </c>
      <c r="J290" s="370"/>
      <c r="K290" s="370"/>
      <c r="L290" s="371">
        <f t="shared" si="10"/>
        <v>22220976.69</v>
      </c>
      <c r="M290" s="376"/>
      <c r="N290" s="373"/>
      <c r="O290" s="113"/>
      <c r="P290" s="113"/>
      <c r="Q290" s="347">
        <f t="shared" si="9"/>
        <v>0</v>
      </c>
      <c r="R290" s="279"/>
      <c r="S290" s="104"/>
      <c r="T290" s="104"/>
      <c r="U290" s="279"/>
      <c r="V290" s="279"/>
      <c r="W290" s="279"/>
      <c r="X290" s="279"/>
      <c r="Y290" s="279"/>
    </row>
    <row r="291" s="103" customFormat="1" ht="24.75" customHeight="1" spans="1:25">
      <c r="A291" s="362"/>
      <c r="B291" s="386"/>
      <c r="C291" s="387"/>
      <c r="D291" s="365"/>
      <c r="E291" s="375" t="str">
        <f>IF(D291="","",VLOOKUP(D291,'[4]Account Code'!$A$3:$D$273,2,0))</f>
        <v/>
      </c>
      <c r="F291" s="367"/>
      <c r="G291" s="368"/>
      <c r="H291" s="368"/>
      <c r="I291" s="369">
        <f>IFERROR(VLOOKUP(O291,[4]CREDITORS!A:B,2,0),"")</f>
        <v>0</v>
      </c>
      <c r="J291" s="370"/>
      <c r="K291" s="370"/>
      <c r="L291" s="371">
        <f t="shared" si="10"/>
        <v>22220976.69</v>
      </c>
      <c r="M291" s="376"/>
      <c r="N291" s="373"/>
      <c r="O291" s="113"/>
      <c r="P291" s="113"/>
      <c r="Q291" s="347">
        <f t="shared" si="9"/>
        <v>0</v>
      </c>
      <c r="R291" s="279"/>
      <c r="S291" s="104"/>
      <c r="T291" s="104"/>
      <c r="U291" s="279"/>
      <c r="V291" s="279"/>
      <c r="W291" s="279"/>
      <c r="X291" s="279"/>
      <c r="Y291" s="279"/>
    </row>
    <row r="292" s="103" customFormat="1" ht="24.75" customHeight="1" spans="1:25">
      <c r="A292" s="362"/>
      <c r="B292" s="386"/>
      <c r="C292" s="387"/>
      <c r="D292" s="365"/>
      <c r="E292" s="375" t="str">
        <f>IF(D292="","",VLOOKUP(D292,'[4]Account Code'!$A$3:$D$273,2,0))</f>
        <v/>
      </c>
      <c r="F292" s="367"/>
      <c r="G292" s="368"/>
      <c r="H292" s="368"/>
      <c r="I292" s="369">
        <f>IFERROR(VLOOKUP(O292,[4]CREDITORS!A:B,2,0),"")</f>
        <v>0</v>
      </c>
      <c r="J292" s="370"/>
      <c r="K292" s="370"/>
      <c r="L292" s="371">
        <f t="shared" si="10"/>
        <v>22220976.69</v>
      </c>
      <c r="M292" s="376"/>
      <c r="N292" s="373"/>
      <c r="O292" s="113"/>
      <c r="P292" s="113"/>
      <c r="Q292" s="347">
        <f t="shared" si="9"/>
        <v>0</v>
      </c>
      <c r="R292" s="279"/>
      <c r="S292" s="104"/>
      <c r="T292" s="104"/>
      <c r="U292" s="279"/>
      <c r="V292" s="279"/>
      <c r="W292" s="279"/>
      <c r="X292" s="279"/>
      <c r="Y292" s="279"/>
    </row>
    <row r="293" s="103" customFormat="1" ht="24.75" customHeight="1" spans="1:25">
      <c r="A293" s="362"/>
      <c r="B293" s="386"/>
      <c r="C293" s="387"/>
      <c r="D293" s="365"/>
      <c r="E293" s="375" t="str">
        <f>IF(D293="","",VLOOKUP(D293,'[4]Account Code'!$A$3:$D$273,2,0))</f>
        <v/>
      </c>
      <c r="F293" s="367"/>
      <c r="G293" s="368"/>
      <c r="H293" s="368"/>
      <c r="I293" s="369">
        <f>IFERROR(VLOOKUP(O293,[4]CREDITORS!A:B,2,0),"")</f>
        <v>0</v>
      </c>
      <c r="J293" s="370"/>
      <c r="K293" s="370"/>
      <c r="L293" s="371">
        <f t="shared" si="10"/>
        <v>22220976.69</v>
      </c>
      <c r="M293" s="376"/>
      <c r="N293" s="373"/>
      <c r="O293" s="113"/>
      <c r="P293" s="113"/>
      <c r="Q293" s="347">
        <f t="shared" si="9"/>
        <v>0</v>
      </c>
      <c r="R293" s="279"/>
      <c r="S293" s="104"/>
      <c r="T293" s="104"/>
      <c r="U293" s="279"/>
      <c r="V293" s="279"/>
      <c r="W293" s="279"/>
      <c r="X293" s="279"/>
      <c r="Y293" s="279"/>
    </row>
    <row r="294" s="103" customFormat="1" ht="24.75" customHeight="1" spans="1:25">
      <c r="A294" s="362"/>
      <c r="B294" s="386"/>
      <c r="C294" s="387"/>
      <c r="D294" s="365"/>
      <c r="E294" s="375" t="str">
        <f>IF(D294="","",VLOOKUP(D294,'[4]Account Code'!$A$3:$D$273,2,0))</f>
        <v/>
      </c>
      <c r="F294" s="367"/>
      <c r="G294" s="368"/>
      <c r="H294" s="368"/>
      <c r="I294" s="369">
        <f>IFERROR(VLOOKUP(O294,[4]CREDITORS!A:B,2,0),"")</f>
        <v>0</v>
      </c>
      <c r="J294" s="370"/>
      <c r="K294" s="370"/>
      <c r="L294" s="371">
        <f t="shared" si="10"/>
        <v>22220976.69</v>
      </c>
      <c r="M294" s="376"/>
      <c r="N294" s="373"/>
      <c r="O294" s="113"/>
      <c r="P294" s="113"/>
      <c r="Q294" s="347">
        <f t="shared" si="9"/>
        <v>0</v>
      </c>
      <c r="R294" s="279"/>
      <c r="S294" s="104"/>
      <c r="T294" s="104"/>
      <c r="U294" s="279"/>
      <c r="V294" s="279"/>
      <c r="W294" s="279"/>
      <c r="X294" s="279"/>
      <c r="Y294" s="279"/>
    </row>
    <row r="295" s="103" customFormat="1" ht="24.75" customHeight="1" spans="1:25">
      <c r="A295" s="362"/>
      <c r="B295" s="386"/>
      <c r="C295" s="387"/>
      <c r="D295" s="365"/>
      <c r="E295" s="375" t="str">
        <f>IF(D295="","",VLOOKUP(D295,'[4]Account Code'!$A$3:$D$273,2,0))</f>
        <v/>
      </c>
      <c r="F295" s="367"/>
      <c r="G295" s="368"/>
      <c r="H295" s="368"/>
      <c r="I295" s="369">
        <f>IFERROR(VLOOKUP(O295,[4]CREDITORS!A:B,2,0),"")</f>
        <v>0</v>
      </c>
      <c r="J295" s="370"/>
      <c r="K295" s="370"/>
      <c r="L295" s="371">
        <f t="shared" si="10"/>
        <v>22220976.69</v>
      </c>
      <c r="M295" s="376"/>
      <c r="N295" s="373"/>
      <c r="O295" s="113"/>
      <c r="P295" s="113"/>
      <c r="Q295" s="347">
        <f t="shared" si="9"/>
        <v>0</v>
      </c>
      <c r="R295" s="279"/>
      <c r="S295" s="104"/>
      <c r="T295" s="104"/>
      <c r="U295" s="279"/>
      <c r="V295" s="279"/>
      <c r="W295" s="279"/>
      <c r="X295" s="279"/>
      <c r="Y295" s="279"/>
    </row>
    <row r="296" s="103" customFormat="1" ht="24.75" customHeight="1" spans="1:25">
      <c r="A296" s="362"/>
      <c r="B296" s="386"/>
      <c r="C296" s="387"/>
      <c r="D296" s="365"/>
      <c r="E296" s="375" t="str">
        <f>IF(D296="","",VLOOKUP(D296,'[4]Account Code'!$A$3:$D$273,2,0))</f>
        <v/>
      </c>
      <c r="F296" s="367"/>
      <c r="G296" s="368"/>
      <c r="H296" s="368"/>
      <c r="I296" s="369">
        <f>IFERROR(VLOOKUP(O296,[4]CREDITORS!A:B,2,0),"")</f>
        <v>0</v>
      </c>
      <c r="J296" s="370"/>
      <c r="K296" s="370"/>
      <c r="L296" s="371">
        <f t="shared" si="10"/>
        <v>22220976.69</v>
      </c>
      <c r="M296" s="376"/>
      <c r="N296" s="373"/>
      <c r="O296" s="113"/>
      <c r="P296" s="113"/>
      <c r="Q296" s="347">
        <f t="shared" si="9"/>
        <v>0</v>
      </c>
      <c r="R296" s="279"/>
      <c r="S296" s="104"/>
      <c r="T296" s="104"/>
      <c r="U296" s="279"/>
      <c r="V296" s="279"/>
      <c r="W296" s="279"/>
      <c r="X296" s="279"/>
      <c r="Y296" s="279"/>
    </row>
    <row r="297" s="103" customFormat="1" ht="24.75" customHeight="1" spans="1:25">
      <c r="A297" s="362"/>
      <c r="B297" s="386"/>
      <c r="C297" s="387"/>
      <c r="D297" s="365"/>
      <c r="E297" s="375" t="str">
        <f>IF(D297="","",VLOOKUP(D297,'[4]Account Code'!$A$3:$D$273,2,0))</f>
        <v/>
      </c>
      <c r="F297" s="367"/>
      <c r="G297" s="368"/>
      <c r="H297" s="368"/>
      <c r="I297" s="369">
        <f>IFERROR(VLOOKUP(O297,[4]CREDITORS!A:B,2,0),"")</f>
        <v>0</v>
      </c>
      <c r="J297" s="370"/>
      <c r="K297" s="370"/>
      <c r="L297" s="371">
        <f t="shared" si="10"/>
        <v>22220976.69</v>
      </c>
      <c r="M297" s="376"/>
      <c r="N297" s="373"/>
      <c r="O297" s="113"/>
      <c r="P297" s="113"/>
      <c r="Q297" s="347">
        <f t="shared" si="9"/>
        <v>0</v>
      </c>
      <c r="R297" s="279"/>
      <c r="S297" s="104"/>
      <c r="T297" s="104"/>
      <c r="U297" s="279"/>
      <c r="V297" s="279"/>
      <c r="W297" s="279"/>
      <c r="X297" s="279"/>
      <c r="Y297" s="279"/>
    </row>
    <row r="298" s="103" customFormat="1" ht="24.75" customHeight="1" spans="1:25">
      <c r="A298" s="362"/>
      <c r="B298" s="386"/>
      <c r="C298" s="387"/>
      <c r="D298" s="365"/>
      <c r="E298" s="375" t="str">
        <f>IF(D298="","",VLOOKUP(D298,'[4]Account Code'!$A$3:$D$273,2,0))</f>
        <v/>
      </c>
      <c r="F298" s="367"/>
      <c r="G298" s="368"/>
      <c r="H298" s="368"/>
      <c r="I298" s="369">
        <f>IFERROR(VLOOKUP(O298,[4]CREDITORS!A:B,2,0),"")</f>
        <v>0</v>
      </c>
      <c r="J298" s="370"/>
      <c r="K298" s="370"/>
      <c r="L298" s="371">
        <f t="shared" si="10"/>
        <v>22220976.69</v>
      </c>
      <c r="M298" s="376"/>
      <c r="N298" s="373"/>
      <c r="O298" s="113"/>
      <c r="P298" s="113"/>
      <c r="Q298" s="347">
        <f t="shared" si="9"/>
        <v>0</v>
      </c>
      <c r="R298" s="279"/>
      <c r="S298" s="104"/>
      <c r="T298" s="104"/>
      <c r="U298" s="279"/>
      <c r="V298" s="279"/>
      <c r="W298" s="279"/>
      <c r="X298" s="279"/>
      <c r="Y298" s="279"/>
    </row>
    <row r="299" s="103" customFormat="1" ht="24.75" customHeight="1" spans="1:25">
      <c r="A299" s="362"/>
      <c r="B299" s="386"/>
      <c r="C299" s="387"/>
      <c r="D299" s="365"/>
      <c r="E299" s="375" t="str">
        <f>IF(D299="","",VLOOKUP(D299,'[4]Account Code'!$A$3:$D$273,2,0))</f>
        <v/>
      </c>
      <c r="F299" s="367"/>
      <c r="G299" s="368"/>
      <c r="H299" s="368"/>
      <c r="I299" s="369">
        <f>IFERROR(VLOOKUP(O299,[4]CREDITORS!A:B,2,0),"")</f>
        <v>0</v>
      </c>
      <c r="J299" s="370"/>
      <c r="K299" s="370"/>
      <c r="L299" s="371">
        <f t="shared" si="10"/>
        <v>22220976.69</v>
      </c>
      <c r="M299" s="376"/>
      <c r="N299" s="373"/>
      <c r="O299" s="113"/>
      <c r="P299" s="113"/>
      <c r="Q299" s="347">
        <f t="shared" si="9"/>
        <v>0</v>
      </c>
      <c r="R299" s="279"/>
      <c r="S299" s="104"/>
      <c r="T299" s="104"/>
      <c r="U299" s="279"/>
      <c r="V299" s="279"/>
      <c r="W299" s="279"/>
      <c r="X299" s="279"/>
      <c r="Y299" s="279"/>
    </row>
    <row r="300" s="103" customFormat="1" ht="24.75" customHeight="1" spans="1:25">
      <c r="A300" s="362"/>
      <c r="B300" s="386"/>
      <c r="C300" s="387"/>
      <c r="D300" s="365"/>
      <c r="E300" s="375" t="str">
        <f>IF(D300="","",VLOOKUP(D300,'[4]Account Code'!$A$3:$D$273,2,0))</f>
        <v/>
      </c>
      <c r="F300" s="367"/>
      <c r="G300" s="368"/>
      <c r="H300" s="368"/>
      <c r="I300" s="369">
        <f>IFERROR(VLOOKUP(O300,[4]CREDITORS!A:B,2,0),"")</f>
        <v>0</v>
      </c>
      <c r="J300" s="370"/>
      <c r="K300" s="370"/>
      <c r="L300" s="371">
        <f t="shared" si="10"/>
        <v>22220976.69</v>
      </c>
      <c r="M300" s="376"/>
      <c r="N300" s="373"/>
      <c r="O300" s="113"/>
      <c r="P300" s="113"/>
      <c r="Q300" s="347">
        <f t="shared" si="9"/>
        <v>0</v>
      </c>
      <c r="R300" s="279"/>
      <c r="S300" s="104"/>
      <c r="T300" s="104"/>
      <c r="U300" s="279"/>
      <c r="V300" s="279"/>
      <c r="W300" s="279"/>
      <c r="X300" s="279"/>
      <c r="Y300" s="279"/>
    </row>
    <row r="301" s="103" customFormat="1" ht="24.75" customHeight="1" spans="1:25">
      <c r="A301" s="362"/>
      <c r="B301" s="386"/>
      <c r="C301" s="387"/>
      <c r="D301" s="365"/>
      <c r="E301" s="375" t="str">
        <f>IF(D301="","",VLOOKUP(D301,'[4]Account Code'!$A$3:$D$273,2,0))</f>
        <v/>
      </c>
      <c r="F301" s="367"/>
      <c r="G301" s="368"/>
      <c r="H301" s="368"/>
      <c r="I301" s="369">
        <f>IFERROR(VLOOKUP(O301,[4]CREDITORS!A:B,2,0),"")</f>
        <v>0</v>
      </c>
      <c r="J301" s="370"/>
      <c r="K301" s="370"/>
      <c r="L301" s="371">
        <f t="shared" si="10"/>
        <v>22220976.69</v>
      </c>
      <c r="M301" s="376"/>
      <c r="N301" s="373"/>
      <c r="O301" s="113"/>
      <c r="P301" s="113"/>
      <c r="Q301" s="347">
        <f t="shared" si="9"/>
        <v>0</v>
      </c>
      <c r="R301" s="279"/>
      <c r="S301" s="104"/>
      <c r="T301" s="104"/>
      <c r="U301" s="279"/>
      <c r="V301" s="279"/>
      <c r="W301" s="279"/>
      <c r="X301" s="279"/>
      <c r="Y301" s="279"/>
    </row>
    <row r="302" s="103" customFormat="1" ht="24.75" customHeight="1" spans="1:25">
      <c r="A302" s="362"/>
      <c r="B302" s="386"/>
      <c r="C302" s="387"/>
      <c r="D302" s="365"/>
      <c r="E302" s="375" t="str">
        <f>IF(D302="","",VLOOKUP(D302,'[4]Account Code'!$A$3:$D$273,2,0))</f>
        <v/>
      </c>
      <c r="F302" s="367"/>
      <c r="G302" s="368"/>
      <c r="H302" s="368"/>
      <c r="I302" s="369">
        <f>IFERROR(VLOOKUP(O302,[4]CREDITORS!A:B,2,0),"")</f>
        <v>0</v>
      </c>
      <c r="J302" s="370"/>
      <c r="K302" s="370"/>
      <c r="L302" s="371">
        <f t="shared" si="10"/>
        <v>22220976.69</v>
      </c>
      <c r="M302" s="376"/>
      <c r="N302" s="373"/>
      <c r="O302" s="113"/>
      <c r="P302" s="113"/>
      <c r="Q302" s="347">
        <f t="shared" ref="Q302:Q334" si="11">(LEN(C302))</f>
        <v>0</v>
      </c>
      <c r="R302" s="279"/>
      <c r="S302" s="104"/>
      <c r="T302" s="104"/>
      <c r="U302" s="279"/>
      <c r="V302" s="279"/>
      <c r="W302" s="279"/>
      <c r="X302" s="279"/>
      <c r="Y302" s="279"/>
    </row>
    <row r="303" s="103" customFormat="1" ht="24.75" customHeight="1" spans="1:25">
      <c r="A303" s="362"/>
      <c r="B303" s="386"/>
      <c r="C303" s="387"/>
      <c r="D303" s="365"/>
      <c r="E303" s="375" t="str">
        <f>IF(D303="","",VLOOKUP(D303,'[4]Account Code'!$A$3:$D$273,2,0))</f>
        <v/>
      </c>
      <c r="F303" s="367"/>
      <c r="G303" s="368"/>
      <c r="H303" s="368"/>
      <c r="I303" s="369">
        <f>IFERROR(VLOOKUP(O303,[4]CREDITORS!A:B,2,0),"")</f>
        <v>0</v>
      </c>
      <c r="J303" s="370"/>
      <c r="K303" s="370"/>
      <c r="L303" s="371">
        <f t="shared" si="10"/>
        <v>22220976.69</v>
      </c>
      <c r="M303" s="376"/>
      <c r="N303" s="373"/>
      <c r="O303" s="113"/>
      <c r="P303" s="113"/>
      <c r="Q303" s="347">
        <f t="shared" si="11"/>
        <v>0</v>
      </c>
      <c r="R303" s="279"/>
      <c r="S303" s="104"/>
      <c r="T303" s="104"/>
      <c r="U303" s="279"/>
      <c r="V303" s="279"/>
      <c r="W303" s="279"/>
      <c r="X303" s="279"/>
      <c r="Y303" s="279"/>
    </row>
    <row r="304" s="103" customFormat="1" ht="24.75" customHeight="1" spans="1:25">
      <c r="A304" s="362"/>
      <c r="B304" s="386"/>
      <c r="C304" s="387"/>
      <c r="D304" s="365"/>
      <c r="E304" s="375" t="str">
        <f>IF(D304="","",VLOOKUP(D304,'[4]Account Code'!$A$3:$D$273,2,0))</f>
        <v/>
      </c>
      <c r="F304" s="367"/>
      <c r="G304" s="368"/>
      <c r="H304" s="368"/>
      <c r="I304" s="369">
        <f>IFERROR(VLOOKUP(O304,[4]CREDITORS!A:B,2,0),"")</f>
        <v>0</v>
      </c>
      <c r="J304" s="370"/>
      <c r="K304" s="370"/>
      <c r="L304" s="371">
        <f t="shared" si="10"/>
        <v>22220976.69</v>
      </c>
      <c r="M304" s="376"/>
      <c r="N304" s="373"/>
      <c r="O304" s="113"/>
      <c r="P304" s="113"/>
      <c r="Q304" s="347">
        <f t="shared" si="11"/>
        <v>0</v>
      </c>
      <c r="R304" s="279"/>
      <c r="S304" s="104"/>
      <c r="T304" s="104"/>
      <c r="U304" s="279"/>
      <c r="V304" s="279"/>
      <c r="W304" s="279"/>
      <c r="X304" s="279"/>
      <c r="Y304" s="279"/>
    </row>
    <row r="305" s="103" customFormat="1" ht="24.75" customHeight="1" spans="1:25">
      <c r="A305" s="362"/>
      <c r="B305" s="386"/>
      <c r="C305" s="387"/>
      <c r="D305" s="365"/>
      <c r="E305" s="375" t="str">
        <f>IF(D305="","",VLOOKUP(D305,'[4]Account Code'!$A$3:$D$273,2,0))</f>
        <v/>
      </c>
      <c r="F305" s="367"/>
      <c r="G305" s="368"/>
      <c r="H305" s="368"/>
      <c r="I305" s="369">
        <f>IFERROR(VLOOKUP(O305,[4]CREDITORS!A:B,2,0),"")</f>
        <v>0</v>
      </c>
      <c r="J305" s="370"/>
      <c r="K305" s="370"/>
      <c r="L305" s="371">
        <f t="shared" si="10"/>
        <v>22220976.69</v>
      </c>
      <c r="M305" s="376"/>
      <c r="N305" s="373"/>
      <c r="O305" s="113"/>
      <c r="P305" s="113"/>
      <c r="Q305" s="347">
        <f t="shared" si="11"/>
        <v>0</v>
      </c>
      <c r="R305" s="279"/>
      <c r="S305" s="104"/>
      <c r="T305" s="104"/>
      <c r="U305" s="279"/>
      <c r="V305" s="279"/>
      <c r="W305" s="279"/>
      <c r="X305" s="279"/>
      <c r="Y305" s="279"/>
    </row>
    <row r="306" s="103" customFormat="1" ht="24.75" customHeight="1" spans="1:25">
      <c r="A306" s="362"/>
      <c r="B306" s="386"/>
      <c r="C306" s="387"/>
      <c r="D306" s="365"/>
      <c r="E306" s="375" t="str">
        <f>IF(D306="","",VLOOKUP(D306,'[4]Account Code'!$A$3:$D$273,2,0))</f>
        <v/>
      </c>
      <c r="F306" s="367"/>
      <c r="G306" s="368"/>
      <c r="H306" s="368"/>
      <c r="I306" s="369">
        <f>IFERROR(VLOOKUP(O306,[4]CREDITORS!A:B,2,0),"")</f>
        <v>0</v>
      </c>
      <c r="J306" s="370"/>
      <c r="K306" s="370"/>
      <c r="L306" s="371">
        <f t="shared" si="10"/>
        <v>22220976.69</v>
      </c>
      <c r="M306" s="376"/>
      <c r="N306" s="373"/>
      <c r="O306" s="113"/>
      <c r="P306" s="113"/>
      <c r="Q306" s="347">
        <f t="shared" si="11"/>
        <v>0</v>
      </c>
      <c r="R306" s="279"/>
      <c r="S306" s="104"/>
      <c r="T306" s="104"/>
      <c r="U306" s="279"/>
      <c r="V306" s="279"/>
      <c r="W306" s="279"/>
      <c r="X306" s="279"/>
      <c r="Y306" s="279"/>
    </row>
    <row r="307" s="103" customFormat="1" ht="24.75" customHeight="1" spans="1:25">
      <c r="A307" s="362"/>
      <c r="B307" s="386"/>
      <c r="C307" s="387"/>
      <c r="D307" s="365"/>
      <c r="E307" s="375" t="str">
        <f>IF(D307="","",VLOOKUP(D307,'[4]Account Code'!$A$3:$D$273,2,0))</f>
        <v/>
      </c>
      <c r="F307" s="367"/>
      <c r="G307" s="368"/>
      <c r="H307" s="368"/>
      <c r="I307" s="369">
        <f>IFERROR(VLOOKUP(O307,[4]CREDITORS!A:B,2,0),"")</f>
        <v>0</v>
      </c>
      <c r="J307" s="370"/>
      <c r="K307" s="370"/>
      <c r="L307" s="371">
        <f t="shared" si="10"/>
        <v>22220976.69</v>
      </c>
      <c r="M307" s="376"/>
      <c r="N307" s="373"/>
      <c r="O307" s="113"/>
      <c r="P307" s="113"/>
      <c r="Q307" s="347">
        <f t="shared" si="11"/>
        <v>0</v>
      </c>
      <c r="R307" s="279"/>
      <c r="S307" s="104"/>
      <c r="T307" s="104"/>
      <c r="U307" s="279"/>
      <c r="V307" s="279"/>
      <c r="W307" s="279"/>
      <c r="X307" s="279"/>
      <c r="Y307" s="279"/>
    </row>
    <row r="308" s="103" customFormat="1" ht="24.75" customHeight="1" spans="1:25">
      <c r="A308" s="362"/>
      <c r="B308" s="386"/>
      <c r="C308" s="387"/>
      <c r="D308" s="365"/>
      <c r="E308" s="375" t="str">
        <f>IF(D308="","",VLOOKUP(D308,'[4]Account Code'!$A$3:$D$273,2,0))</f>
        <v/>
      </c>
      <c r="F308" s="367"/>
      <c r="G308" s="368"/>
      <c r="H308" s="368"/>
      <c r="I308" s="369">
        <f>IFERROR(VLOOKUP(O308,[4]CREDITORS!A:B,2,0),"")</f>
        <v>0</v>
      </c>
      <c r="J308" s="370"/>
      <c r="K308" s="370"/>
      <c r="L308" s="371">
        <f t="shared" si="10"/>
        <v>22220976.69</v>
      </c>
      <c r="M308" s="376"/>
      <c r="N308" s="373"/>
      <c r="O308" s="113"/>
      <c r="P308" s="113"/>
      <c r="Q308" s="347">
        <f t="shared" si="11"/>
        <v>0</v>
      </c>
      <c r="R308" s="279"/>
      <c r="S308" s="104"/>
      <c r="T308" s="104"/>
      <c r="U308" s="279"/>
      <c r="V308" s="279"/>
      <c r="W308" s="279"/>
      <c r="X308" s="279"/>
      <c r="Y308" s="279"/>
    </row>
    <row r="309" s="103" customFormat="1" ht="24.75" customHeight="1" spans="1:25">
      <c r="A309" s="362"/>
      <c r="B309" s="386"/>
      <c r="C309" s="387"/>
      <c r="D309" s="365"/>
      <c r="E309" s="375" t="str">
        <f>IF(D309="","",VLOOKUP(D309,'[4]Account Code'!$A$3:$D$273,2,0))</f>
        <v/>
      </c>
      <c r="F309" s="367"/>
      <c r="G309" s="368"/>
      <c r="H309" s="368"/>
      <c r="I309" s="369">
        <f>IFERROR(VLOOKUP(O309,[4]CREDITORS!A:B,2,0),"")</f>
        <v>0</v>
      </c>
      <c r="J309" s="370"/>
      <c r="K309" s="370"/>
      <c r="L309" s="371">
        <f t="shared" si="10"/>
        <v>22220976.69</v>
      </c>
      <c r="M309" s="376"/>
      <c r="N309" s="373"/>
      <c r="O309" s="113"/>
      <c r="P309" s="113"/>
      <c r="Q309" s="347">
        <f t="shared" si="11"/>
        <v>0</v>
      </c>
      <c r="R309" s="279"/>
      <c r="S309" s="104"/>
      <c r="T309" s="104"/>
      <c r="U309" s="279"/>
      <c r="V309" s="279"/>
      <c r="W309" s="279"/>
      <c r="X309" s="279"/>
      <c r="Y309" s="279"/>
    </row>
    <row r="310" s="103" customFormat="1" ht="24.75" customHeight="1" spans="1:25">
      <c r="A310" s="362"/>
      <c r="B310" s="386"/>
      <c r="C310" s="387"/>
      <c r="D310" s="365"/>
      <c r="E310" s="375" t="str">
        <f>IF(D310="","",VLOOKUP(D310,'[4]Account Code'!$A$3:$D$273,2,0))</f>
        <v/>
      </c>
      <c r="F310" s="367"/>
      <c r="G310" s="368"/>
      <c r="H310" s="368"/>
      <c r="I310" s="369">
        <f>IFERROR(VLOOKUP(O310,[4]CREDITORS!A:B,2,0),"")</f>
        <v>0</v>
      </c>
      <c r="J310" s="370"/>
      <c r="K310" s="370"/>
      <c r="L310" s="371">
        <f t="shared" si="10"/>
        <v>22220976.69</v>
      </c>
      <c r="M310" s="376"/>
      <c r="N310" s="373"/>
      <c r="O310" s="113"/>
      <c r="P310" s="113"/>
      <c r="Q310" s="347">
        <f t="shared" si="11"/>
        <v>0</v>
      </c>
      <c r="R310" s="279"/>
      <c r="S310" s="104"/>
      <c r="T310" s="104"/>
      <c r="U310" s="279"/>
      <c r="V310" s="279"/>
      <c r="W310" s="279"/>
      <c r="X310" s="279"/>
      <c r="Y310" s="279"/>
    </row>
    <row r="311" s="103" customFormat="1" ht="24.75" customHeight="1" spans="1:25">
      <c r="A311" s="362"/>
      <c r="B311" s="386"/>
      <c r="C311" s="387"/>
      <c r="D311" s="365"/>
      <c r="E311" s="375" t="str">
        <f>IF(D311="","",VLOOKUP(D311,'[4]Account Code'!$A$3:$D$273,2,0))</f>
        <v/>
      </c>
      <c r="F311" s="367"/>
      <c r="G311" s="368"/>
      <c r="H311" s="368"/>
      <c r="I311" s="369">
        <f>IFERROR(VLOOKUP(O311,[4]CREDITORS!A:B,2,0),"")</f>
        <v>0</v>
      </c>
      <c r="J311" s="370"/>
      <c r="K311" s="370"/>
      <c r="L311" s="371">
        <f t="shared" si="10"/>
        <v>22220976.69</v>
      </c>
      <c r="M311" s="376"/>
      <c r="N311" s="373"/>
      <c r="O311" s="113"/>
      <c r="P311" s="113"/>
      <c r="Q311" s="347">
        <f t="shared" si="11"/>
        <v>0</v>
      </c>
      <c r="R311" s="279"/>
      <c r="S311" s="104"/>
      <c r="T311" s="104"/>
      <c r="U311" s="279"/>
      <c r="V311" s="279"/>
      <c r="W311" s="279"/>
      <c r="X311" s="279"/>
      <c r="Y311" s="279"/>
    </row>
    <row r="312" s="103" customFormat="1" ht="24.75" customHeight="1" spans="1:25">
      <c r="A312" s="362"/>
      <c r="B312" s="386"/>
      <c r="C312" s="387"/>
      <c r="D312" s="365"/>
      <c r="E312" s="375" t="str">
        <f>IF(D312="","",VLOOKUP(D312,'[4]Account Code'!$A$3:$D$273,2,0))</f>
        <v/>
      </c>
      <c r="F312" s="367"/>
      <c r="G312" s="368"/>
      <c r="H312" s="368"/>
      <c r="I312" s="369">
        <f>IFERROR(VLOOKUP(O312,[4]CREDITORS!A:B,2,0),"")</f>
        <v>0</v>
      </c>
      <c r="J312" s="370"/>
      <c r="K312" s="370"/>
      <c r="L312" s="371">
        <f t="shared" si="10"/>
        <v>22220976.69</v>
      </c>
      <c r="M312" s="376"/>
      <c r="N312" s="373"/>
      <c r="O312" s="113"/>
      <c r="P312" s="113"/>
      <c r="Q312" s="347">
        <f t="shared" si="11"/>
        <v>0</v>
      </c>
      <c r="R312" s="279"/>
      <c r="S312" s="104"/>
      <c r="T312" s="104"/>
      <c r="U312" s="279"/>
      <c r="V312" s="279"/>
      <c r="W312" s="279"/>
      <c r="X312" s="279"/>
      <c r="Y312" s="279"/>
    </row>
    <row r="313" s="103" customFormat="1" ht="24.75" customHeight="1" spans="1:25">
      <c r="A313" s="362"/>
      <c r="B313" s="386"/>
      <c r="C313" s="387"/>
      <c r="D313" s="365"/>
      <c r="E313" s="375" t="str">
        <f>IF(D313="","",VLOOKUP(D313,'[4]Account Code'!$A$3:$D$273,2,0))</f>
        <v/>
      </c>
      <c r="F313" s="367"/>
      <c r="G313" s="368"/>
      <c r="H313" s="368"/>
      <c r="I313" s="369">
        <f>IFERROR(VLOOKUP(O313,[4]CREDITORS!A:B,2,0),"")</f>
        <v>0</v>
      </c>
      <c r="J313" s="370"/>
      <c r="K313" s="370"/>
      <c r="L313" s="371">
        <f t="shared" si="10"/>
        <v>22220976.69</v>
      </c>
      <c r="M313" s="376"/>
      <c r="N313" s="373"/>
      <c r="O313" s="113"/>
      <c r="P313" s="113"/>
      <c r="Q313" s="347">
        <f t="shared" si="11"/>
        <v>0</v>
      </c>
      <c r="R313" s="279"/>
      <c r="S313" s="104"/>
      <c r="T313" s="104"/>
      <c r="U313" s="279"/>
      <c r="V313" s="279"/>
      <c r="W313" s="279"/>
      <c r="X313" s="279"/>
      <c r="Y313" s="279"/>
    </row>
    <row r="314" s="103" customFormat="1" ht="24.75" customHeight="1" spans="1:25">
      <c r="A314" s="362"/>
      <c r="B314" s="386"/>
      <c r="C314" s="387"/>
      <c r="D314" s="365"/>
      <c r="E314" s="375" t="str">
        <f>IF(D314="","",VLOOKUP(D314,'[4]Account Code'!$A$3:$D$273,2,0))</f>
        <v/>
      </c>
      <c r="F314" s="367"/>
      <c r="G314" s="368"/>
      <c r="H314" s="368"/>
      <c r="I314" s="369">
        <f>IFERROR(VLOOKUP(O314,[4]CREDITORS!A:B,2,0),"")</f>
        <v>0</v>
      </c>
      <c r="J314" s="370"/>
      <c r="K314" s="370"/>
      <c r="L314" s="371">
        <f t="shared" si="10"/>
        <v>22220976.69</v>
      </c>
      <c r="M314" s="376"/>
      <c r="N314" s="373"/>
      <c r="O314" s="113"/>
      <c r="P314" s="113"/>
      <c r="Q314" s="347">
        <f t="shared" si="11"/>
        <v>0</v>
      </c>
      <c r="R314" s="279"/>
      <c r="S314" s="104"/>
      <c r="T314" s="104"/>
      <c r="U314" s="279"/>
      <c r="V314" s="279"/>
      <c r="W314" s="279"/>
      <c r="X314" s="279"/>
      <c r="Y314" s="279"/>
    </row>
    <row r="315" s="103" customFormat="1" ht="24.75" customHeight="1" spans="1:25">
      <c r="A315" s="362"/>
      <c r="B315" s="386"/>
      <c r="C315" s="387"/>
      <c r="D315" s="365"/>
      <c r="E315" s="375" t="str">
        <f>IF(D315="","",VLOOKUP(D315,'[4]Account Code'!$A$3:$D$273,2,0))</f>
        <v/>
      </c>
      <c r="F315" s="367"/>
      <c r="G315" s="368"/>
      <c r="H315" s="368"/>
      <c r="I315" s="369">
        <f>IFERROR(VLOOKUP(O315,[4]CREDITORS!A:B,2,0),"")</f>
        <v>0</v>
      </c>
      <c r="J315" s="370"/>
      <c r="K315" s="370"/>
      <c r="L315" s="371">
        <f t="shared" si="10"/>
        <v>22220976.69</v>
      </c>
      <c r="M315" s="376"/>
      <c r="N315" s="373"/>
      <c r="O315" s="113"/>
      <c r="P315" s="113"/>
      <c r="Q315" s="347">
        <f t="shared" si="11"/>
        <v>0</v>
      </c>
      <c r="R315" s="279"/>
      <c r="S315" s="104"/>
      <c r="T315" s="104"/>
      <c r="U315" s="279"/>
      <c r="V315" s="279"/>
      <c r="W315" s="279"/>
      <c r="X315" s="279"/>
      <c r="Y315" s="279"/>
    </row>
    <row r="316" s="103" customFormat="1" ht="24.75" customHeight="1" spans="1:25">
      <c r="A316" s="362"/>
      <c r="B316" s="386"/>
      <c r="C316" s="387"/>
      <c r="D316" s="365"/>
      <c r="E316" s="375" t="str">
        <f>IF(D316="","",VLOOKUP(D316,'[4]Account Code'!$A$3:$D$273,2,0))</f>
        <v/>
      </c>
      <c r="F316" s="367"/>
      <c r="G316" s="368"/>
      <c r="H316" s="368"/>
      <c r="I316" s="369">
        <f>IFERROR(VLOOKUP(O316,[4]CREDITORS!A:B,2,0),"")</f>
        <v>0</v>
      </c>
      <c r="J316" s="370"/>
      <c r="K316" s="370"/>
      <c r="L316" s="371">
        <f t="shared" si="10"/>
        <v>22220976.69</v>
      </c>
      <c r="M316" s="376"/>
      <c r="N316" s="373"/>
      <c r="O316" s="113"/>
      <c r="P316" s="113"/>
      <c r="Q316" s="347">
        <f t="shared" si="11"/>
        <v>0</v>
      </c>
      <c r="R316" s="279"/>
      <c r="S316" s="104"/>
      <c r="T316" s="104"/>
      <c r="U316" s="279"/>
      <c r="V316" s="279"/>
      <c r="W316" s="279"/>
      <c r="X316" s="279"/>
      <c r="Y316" s="279"/>
    </row>
    <row r="317" s="103" customFormat="1" ht="24.75" customHeight="1" spans="1:25">
      <c r="A317" s="362"/>
      <c r="B317" s="386"/>
      <c r="C317" s="387"/>
      <c r="D317" s="365"/>
      <c r="E317" s="375" t="str">
        <f>IF(D317="","",VLOOKUP(D317,'[4]Account Code'!$A$3:$D$273,2,0))</f>
        <v/>
      </c>
      <c r="F317" s="367"/>
      <c r="G317" s="368"/>
      <c r="H317" s="368"/>
      <c r="I317" s="369">
        <f>IFERROR(VLOOKUP(O317,[4]CREDITORS!A:B,2,0),"")</f>
        <v>0</v>
      </c>
      <c r="J317" s="370"/>
      <c r="K317" s="370"/>
      <c r="L317" s="371">
        <f t="shared" si="10"/>
        <v>22220976.69</v>
      </c>
      <c r="M317" s="376"/>
      <c r="N317" s="373"/>
      <c r="O317" s="113"/>
      <c r="P317" s="113"/>
      <c r="Q317" s="347">
        <f t="shared" si="11"/>
        <v>0</v>
      </c>
      <c r="R317" s="279"/>
      <c r="S317" s="104"/>
      <c r="T317" s="104"/>
      <c r="U317" s="279"/>
      <c r="V317" s="279"/>
      <c r="W317" s="279"/>
      <c r="X317" s="279"/>
      <c r="Y317" s="279"/>
    </row>
    <row r="318" s="103" customFormat="1" ht="24.75" customHeight="1" spans="1:25">
      <c r="A318" s="362"/>
      <c r="B318" s="386"/>
      <c r="C318" s="387"/>
      <c r="D318" s="365"/>
      <c r="E318" s="375" t="str">
        <f>IF(D318="","",VLOOKUP(D318,'[4]Account Code'!$A$3:$D$273,2,0))</f>
        <v/>
      </c>
      <c r="F318" s="367"/>
      <c r="G318" s="368"/>
      <c r="H318" s="368"/>
      <c r="I318" s="369">
        <f>IFERROR(VLOOKUP(O318,[4]CREDITORS!A:B,2,0),"")</f>
        <v>0</v>
      </c>
      <c r="J318" s="370"/>
      <c r="K318" s="370"/>
      <c r="L318" s="371">
        <f t="shared" si="10"/>
        <v>22220976.69</v>
      </c>
      <c r="M318" s="376"/>
      <c r="N318" s="373"/>
      <c r="O318" s="113"/>
      <c r="P318" s="113"/>
      <c r="Q318" s="347">
        <f t="shared" si="11"/>
        <v>0</v>
      </c>
      <c r="R318" s="279"/>
      <c r="S318" s="104"/>
      <c r="T318" s="104"/>
      <c r="U318" s="279"/>
      <c r="V318" s="279"/>
      <c r="W318" s="279"/>
      <c r="X318" s="279"/>
      <c r="Y318" s="279"/>
    </row>
    <row r="319" s="103" customFormat="1" ht="24.75" customHeight="1" spans="1:25">
      <c r="A319" s="362"/>
      <c r="B319" s="386"/>
      <c r="C319" s="387"/>
      <c r="D319" s="365"/>
      <c r="E319" s="375" t="str">
        <f>IF(D319="","",VLOOKUP(D319,'[4]Account Code'!$A$3:$D$273,2,0))</f>
        <v/>
      </c>
      <c r="F319" s="367"/>
      <c r="G319" s="368"/>
      <c r="H319" s="368"/>
      <c r="I319" s="369">
        <f>IFERROR(VLOOKUP(O319,[4]CREDITORS!A:B,2,0),"")</f>
        <v>0</v>
      </c>
      <c r="J319" s="370"/>
      <c r="K319" s="370"/>
      <c r="L319" s="371">
        <f t="shared" si="10"/>
        <v>22220976.69</v>
      </c>
      <c r="M319" s="376"/>
      <c r="N319" s="373"/>
      <c r="O319" s="113"/>
      <c r="P319" s="113"/>
      <c r="Q319" s="347">
        <f t="shared" si="11"/>
        <v>0</v>
      </c>
      <c r="R319" s="279"/>
      <c r="S319" s="104"/>
      <c r="T319" s="104"/>
      <c r="U319" s="279"/>
      <c r="V319" s="279"/>
      <c r="W319" s="279"/>
      <c r="X319" s="279"/>
      <c r="Y319" s="279"/>
    </row>
    <row r="320" s="103" customFormat="1" ht="24.75" customHeight="1" spans="1:25">
      <c r="A320" s="362"/>
      <c r="B320" s="386"/>
      <c r="C320" s="387"/>
      <c r="D320" s="365"/>
      <c r="E320" s="375" t="str">
        <f>IF(D320="","",VLOOKUP(D320,'[4]Account Code'!$A$3:$D$273,2,0))</f>
        <v/>
      </c>
      <c r="F320" s="367"/>
      <c r="G320" s="368"/>
      <c r="H320" s="368"/>
      <c r="I320" s="369">
        <f>IFERROR(VLOOKUP(O320,[4]CREDITORS!A:B,2,0),"")</f>
        <v>0</v>
      </c>
      <c r="J320" s="370"/>
      <c r="K320" s="370"/>
      <c r="L320" s="371">
        <f t="shared" si="10"/>
        <v>22220976.69</v>
      </c>
      <c r="M320" s="376"/>
      <c r="N320" s="373"/>
      <c r="O320" s="113"/>
      <c r="P320" s="113"/>
      <c r="Q320" s="347">
        <f t="shared" si="11"/>
        <v>0</v>
      </c>
      <c r="R320" s="279"/>
      <c r="S320" s="104"/>
      <c r="T320" s="104"/>
      <c r="U320" s="279"/>
      <c r="V320" s="279"/>
      <c r="W320" s="279"/>
      <c r="X320" s="279"/>
      <c r="Y320" s="279"/>
    </row>
    <row r="321" s="103" customFormat="1" ht="24.75" customHeight="1" spans="1:25">
      <c r="A321" s="362"/>
      <c r="B321" s="386"/>
      <c r="C321" s="387"/>
      <c r="D321" s="365"/>
      <c r="E321" s="375" t="str">
        <f>IF(D321="","",VLOOKUP(D321,'[4]Account Code'!$A$3:$D$273,2,0))</f>
        <v/>
      </c>
      <c r="F321" s="367"/>
      <c r="G321" s="368"/>
      <c r="H321" s="368"/>
      <c r="I321" s="369">
        <f>IFERROR(VLOOKUP(O321,[4]CREDITORS!A:B,2,0),"")</f>
        <v>0</v>
      </c>
      <c r="J321" s="370"/>
      <c r="K321" s="370"/>
      <c r="L321" s="371">
        <f t="shared" si="10"/>
        <v>22220976.69</v>
      </c>
      <c r="M321" s="376"/>
      <c r="N321" s="373"/>
      <c r="O321" s="113"/>
      <c r="P321" s="113"/>
      <c r="Q321" s="347">
        <f t="shared" si="11"/>
        <v>0</v>
      </c>
      <c r="R321" s="279"/>
      <c r="S321" s="104"/>
      <c r="T321" s="104"/>
      <c r="U321" s="279"/>
      <c r="V321" s="279"/>
      <c r="W321" s="279"/>
      <c r="X321" s="279"/>
      <c r="Y321" s="279"/>
    </row>
    <row r="322" s="103" customFormat="1" ht="24.75" customHeight="1" spans="1:25">
      <c r="A322" s="362"/>
      <c r="B322" s="386"/>
      <c r="C322" s="387"/>
      <c r="D322" s="365"/>
      <c r="E322" s="375" t="str">
        <f>IF(D322="","",VLOOKUP(D322,'[4]Account Code'!$A$3:$D$273,2,0))</f>
        <v/>
      </c>
      <c r="F322" s="367"/>
      <c r="G322" s="368"/>
      <c r="H322" s="368"/>
      <c r="I322" s="369">
        <f>IFERROR(VLOOKUP(O322,[4]CREDITORS!A:B,2,0),"")</f>
        <v>0</v>
      </c>
      <c r="J322" s="370"/>
      <c r="K322" s="370"/>
      <c r="L322" s="371">
        <f t="shared" si="10"/>
        <v>22220976.69</v>
      </c>
      <c r="M322" s="376"/>
      <c r="N322" s="373"/>
      <c r="O322" s="113"/>
      <c r="P322" s="113"/>
      <c r="Q322" s="347">
        <f t="shared" si="11"/>
        <v>0</v>
      </c>
      <c r="R322" s="279"/>
      <c r="S322" s="104"/>
      <c r="T322" s="104"/>
      <c r="U322" s="279"/>
      <c r="V322" s="279"/>
      <c r="W322" s="279"/>
      <c r="X322" s="279"/>
      <c r="Y322" s="279"/>
    </row>
    <row r="323" s="103" customFormat="1" ht="24.75" customHeight="1" spans="1:25">
      <c r="A323" s="362"/>
      <c r="B323" s="386"/>
      <c r="C323" s="387"/>
      <c r="D323" s="365"/>
      <c r="E323" s="375" t="str">
        <f>IF(D323="","",VLOOKUP(D323,'[4]Account Code'!$A$3:$D$273,2,0))</f>
        <v/>
      </c>
      <c r="F323" s="367"/>
      <c r="G323" s="368"/>
      <c r="H323" s="368"/>
      <c r="I323" s="369">
        <f>IFERROR(VLOOKUP(O323,[4]CREDITORS!A:B,2,0),"")</f>
        <v>0</v>
      </c>
      <c r="J323" s="370"/>
      <c r="K323" s="370"/>
      <c r="L323" s="371">
        <f t="shared" si="10"/>
        <v>22220976.69</v>
      </c>
      <c r="M323" s="376"/>
      <c r="N323" s="373"/>
      <c r="O323" s="113"/>
      <c r="P323" s="113"/>
      <c r="Q323" s="347">
        <f t="shared" si="11"/>
        <v>0</v>
      </c>
      <c r="R323" s="279"/>
      <c r="S323" s="104"/>
      <c r="T323" s="104"/>
      <c r="U323" s="279"/>
      <c r="V323" s="279"/>
      <c r="W323" s="279"/>
      <c r="X323" s="279"/>
      <c r="Y323" s="279"/>
    </row>
    <row r="324" s="103" customFormat="1" ht="24.75" customHeight="1" spans="1:25">
      <c r="A324" s="362"/>
      <c r="B324" s="386"/>
      <c r="C324" s="387"/>
      <c r="D324" s="365"/>
      <c r="E324" s="375" t="str">
        <f>IF(D324="","",VLOOKUP(D324,'[4]Account Code'!$A$3:$D$273,2,0))</f>
        <v/>
      </c>
      <c r="F324" s="367"/>
      <c r="G324" s="368"/>
      <c r="H324" s="368"/>
      <c r="I324" s="369">
        <f>IFERROR(VLOOKUP(O324,[4]CREDITORS!A:B,2,0),"")</f>
        <v>0</v>
      </c>
      <c r="J324" s="370"/>
      <c r="K324" s="370"/>
      <c r="L324" s="371">
        <f t="shared" si="10"/>
        <v>22220976.69</v>
      </c>
      <c r="M324" s="376"/>
      <c r="N324" s="373"/>
      <c r="O324" s="113"/>
      <c r="P324" s="113"/>
      <c r="Q324" s="347">
        <f t="shared" si="11"/>
        <v>0</v>
      </c>
      <c r="R324" s="279"/>
      <c r="S324" s="104"/>
      <c r="T324" s="104"/>
      <c r="U324" s="279"/>
      <c r="V324" s="279"/>
      <c r="W324" s="279"/>
      <c r="X324" s="279"/>
      <c r="Y324" s="279"/>
    </row>
    <row r="325" s="103" customFormat="1" ht="24.75" customHeight="1" spans="1:25">
      <c r="A325" s="362"/>
      <c r="B325" s="386"/>
      <c r="C325" s="387"/>
      <c r="D325" s="365"/>
      <c r="E325" s="375" t="str">
        <f>IF(D325="","",VLOOKUP(D325,'[4]Account Code'!$A$3:$D$273,2,0))</f>
        <v/>
      </c>
      <c r="F325" s="367"/>
      <c r="G325" s="368"/>
      <c r="H325" s="368"/>
      <c r="I325" s="369">
        <f>IFERROR(VLOOKUP(O325,[4]CREDITORS!A:B,2,0),"")</f>
        <v>0</v>
      </c>
      <c r="J325" s="370"/>
      <c r="K325" s="370"/>
      <c r="L325" s="371">
        <f t="shared" si="10"/>
        <v>22220976.69</v>
      </c>
      <c r="M325" s="376"/>
      <c r="N325" s="373"/>
      <c r="O325" s="113"/>
      <c r="P325" s="113"/>
      <c r="Q325" s="347">
        <f t="shared" si="11"/>
        <v>0</v>
      </c>
      <c r="R325" s="279"/>
      <c r="S325" s="104"/>
      <c r="T325" s="104"/>
      <c r="U325" s="279"/>
      <c r="V325" s="279"/>
      <c r="W325" s="279"/>
      <c r="X325" s="279"/>
      <c r="Y325" s="279"/>
    </row>
    <row r="326" s="103" customFormat="1" ht="24.75" customHeight="1" spans="1:25">
      <c r="A326" s="362"/>
      <c r="B326" s="386"/>
      <c r="C326" s="387"/>
      <c r="D326" s="365"/>
      <c r="E326" s="375" t="str">
        <f>IF(D326="","",VLOOKUP(D326,'[4]Account Code'!$A$3:$D$273,2,0))</f>
        <v/>
      </c>
      <c r="F326" s="367"/>
      <c r="G326" s="368"/>
      <c r="H326" s="368"/>
      <c r="I326" s="369">
        <f>IFERROR(VLOOKUP(O326,[4]CREDITORS!A:B,2,0),"")</f>
        <v>0</v>
      </c>
      <c r="J326" s="370"/>
      <c r="K326" s="370"/>
      <c r="L326" s="371">
        <f t="shared" si="10"/>
        <v>22220976.69</v>
      </c>
      <c r="M326" s="376"/>
      <c r="N326" s="373"/>
      <c r="O326" s="113"/>
      <c r="P326" s="113"/>
      <c r="Q326" s="347">
        <f t="shared" si="11"/>
        <v>0</v>
      </c>
      <c r="R326" s="279"/>
      <c r="S326" s="104"/>
      <c r="T326" s="104"/>
      <c r="U326" s="279"/>
      <c r="V326" s="279"/>
      <c r="W326" s="279"/>
      <c r="X326" s="279"/>
      <c r="Y326" s="279"/>
    </row>
    <row r="327" s="103" customFormat="1" ht="24.75" customHeight="1" spans="1:25">
      <c r="A327" s="362"/>
      <c r="B327" s="386"/>
      <c r="C327" s="387"/>
      <c r="D327" s="365"/>
      <c r="E327" s="375" t="str">
        <f>IF(D327="","",VLOOKUP(D327,'[4]Account Code'!$A$3:$D$273,2,0))</f>
        <v/>
      </c>
      <c r="F327" s="367"/>
      <c r="G327" s="368"/>
      <c r="H327" s="368"/>
      <c r="I327" s="369">
        <f>IFERROR(VLOOKUP(O327,[4]CREDITORS!A:B,2,0),"")</f>
        <v>0</v>
      </c>
      <c r="J327" s="370"/>
      <c r="K327" s="370"/>
      <c r="L327" s="371">
        <f t="shared" si="10"/>
        <v>22220976.69</v>
      </c>
      <c r="M327" s="376"/>
      <c r="N327" s="373"/>
      <c r="O327" s="113"/>
      <c r="P327" s="113"/>
      <c r="Q327" s="347">
        <f t="shared" si="11"/>
        <v>0</v>
      </c>
      <c r="R327" s="279"/>
      <c r="S327" s="104"/>
      <c r="T327" s="104"/>
      <c r="U327" s="279"/>
      <c r="V327" s="279"/>
      <c r="W327" s="279"/>
      <c r="X327" s="279"/>
      <c r="Y327" s="279"/>
    </row>
    <row r="328" s="103" customFormat="1" ht="24.75" customHeight="1" spans="1:25">
      <c r="A328" s="362"/>
      <c r="B328" s="386"/>
      <c r="C328" s="387"/>
      <c r="D328" s="365"/>
      <c r="E328" s="375" t="str">
        <f>IF(D328="","",VLOOKUP(D328,'[4]Account Code'!$A$3:$D$273,2,0))</f>
        <v/>
      </c>
      <c r="F328" s="367"/>
      <c r="G328" s="368"/>
      <c r="H328" s="368"/>
      <c r="I328" s="369">
        <f>IFERROR(VLOOKUP(O328,[4]CREDITORS!A:B,2,0),"")</f>
        <v>0</v>
      </c>
      <c r="J328" s="370"/>
      <c r="K328" s="370"/>
      <c r="L328" s="371">
        <f t="shared" si="10"/>
        <v>22220976.69</v>
      </c>
      <c r="M328" s="376"/>
      <c r="N328" s="373"/>
      <c r="O328" s="113"/>
      <c r="P328" s="113"/>
      <c r="Q328" s="347">
        <f t="shared" si="11"/>
        <v>0</v>
      </c>
      <c r="R328" s="279"/>
      <c r="S328" s="104"/>
      <c r="T328" s="104"/>
      <c r="U328" s="279"/>
      <c r="V328" s="279"/>
      <c r="W328" s="279"/>
      <c r="X328" s="279"/>
      <c r="Y328" s="279"/>
    </row>
    <row r="329" s="103" customFormat="1" ht="24.75" customHeight="1" spans="1:25">
      <c r="A329" s="362"/>
      <c r="B329" s="386"/>
      <c r="C329" s="387"/>
      <c r="D329" s="365"/>
      <c r="E329" s="375" t="str">
        <f>IF(D329="","",VLOOKUP(D329,'[4]Account Code'!$A$3:$D$273,2,0))</f>
        <v/>
      </c>
      <c r="F329" s="367"/>
      <c r="G329" s="368"/>
      <c r="H329" s="368"/>
      <c r="I329" s="369">
        <f>IFERROR(VLOOKUP(O329,[4]CREDITORS!A:B,2,0),"")</f>
        <v>0</v>
      </c>
      <c r="J329" s="370"/>
      <c r="K329" s="370"/>
      <c r="L329" s="371">
        <f t="shared" si="10"/>
        <v>22220976.69</v>
      </c>
      <c r="M329" s="376"/>
      <c r="N329" s="373"/>
      <c r="O329" s="113"/>
      <c r="P329" s="113"/>
      <c r="Q329" s="347">
        <f t="shared" si="11"/>
        <v>0</v>
      </c>
      <c r="R329" s="279"/>
      <c r="S329" s="104"/>
      <c r="T329" s="104"/>
      <c r="U329" s="279"/>
      <c r="V329" s="279"/>
      <c r="W329" s="279"/>
      <c r="X329" s="279"/>
      <c r="Y329" s="279"/>
    </row>
    <row r="330" s="103" customFormat="1" ht="24.75" customHeight="1" spans="1:25">
      <c r="A330" s="362"/>
      <c r="B330" s="386"/>
      <c r="C330" s="387"/>
      <c r="D330" s="365"/>
      <c r="E330" s="375" t="str">
        <f>IF(D330="","",VLOOKUP(D330,'[4]Account Code'!$A$3:$D$273,2,0))</f>
        <v/>
      </c>
      <c r="F330" s="367"/>
      <c r="G330" s="368"/>
      <c r="H330" s="368"/>
      <c r="I330" s="369">
        <f>IFERROR(VLOOKUP(O330,[4]CREDITORS!A:B,2,0),"")</f>
        <v>0</v>
      </c>
      <c r="J330" s="370"/>
      <c r="K330" s="370"/>
      <c r="L330" s="371">
        <f t="shared" si="10"/>
        <v>22220976.69</v>
      </c>
      <c r="M330" s="376"/>
      <c r="N330" s="373"/>
      <c r="O330" s="113"/>
      <c r="P330" s="113"/>
      <c r="Q330" s="347">
        <f t="shared" si="11"/>
        <v>0</v>
      </c>
      <c r="R330" s="279"/>
      <c r="S330" s="104"/>
      <c r="T330" s="104"/>
      <c r="U330" s="279"/>
      <c r="V330" s="279"/>
      <c r="W330" s="279"/>
      <c r="X330" s="279"/>
      <c r="Y330" s="279"/>
    </row>
    <row r="331" s="103" customFormat="1" ht="24.75" customHeight="1" spans="1:25">
      <c r="A331" s="362"/>
      <c r="B331" s="386"/>
      <c r="C331" s="387"/>
      <c r="D331" s="365"/>
      <c r="E331" s="375" t="str">
        <f>IF(D331="","",VLOOKUP(D331,'[4]Account Code'!$A$3:$D$273,2,0))</f>
        <v/>
      </c>
      <c r="F331" s="367"/>
      <c r="G331" s="368"/>
      <c r="H331" s="368"/>
      <c r="I331" s="369">
        <f>IFERROR(VLOOKUP(O331,[4]CREDITORS!A:B,2,0),"")</f>
        <v>0</v>
      </c>
      <c r="J331" s="370"/>
      <c r="K331" s="370"/>
      <c r="L331" s="371">
        <f t="shared" si="10"/>
        <v>22220976.69</v>
      </c>
      <c r="M331" s="376"/>
      <c r="N331" s="373"/>
      <c r="O331" s="113"/>
      <c r="P331" s="113"/>
      <c r="Q331" s="347">
        <f t="shared" si="11"/>
        <v>0</v>
      </c>
      <c r="R331" s="279"/>
      <c r="S331" s="104"/>
      <c r="T331" s="104"/>
      <c r="U331" s="279"/>
      <c r="V331" s="279"/>
      <c r="W331" s="279"/>
      <c r="X331" s="279"/>
      <c r="Y331" s="279"/>
    </row>
    <row r="332" s="103" customFormat="1" ht="24.75" customHeight="1" spans="1:25">
      <c r="A332" s="362"/>
      <c r="B332" s="386"/>
      <c r="C332" s="387"/>
      <c r="D332" s="365"/>
      <c r="E332" s="375" t="str">
        <f>IF(D332="","",VLOOKUP(D332,'[4]Account Code'!$A$3:$D$273,2,0))</f>
        <v/>
      </c>
      <c r="F332" s="367"/>
      <c r="G332" s="368"/>
      <c r="H332" s="368"/>
      <c r="I332" s="369">
        <f>IFERROR(VLOOKUP(O332,[4]CREDITORS!A:B,2,0),"")</f>
        <v>0</v>
      </c>
      <c r="J332" s="370"/>
      <c r="K332" s="370"/>
      <c r="L332" s="371">
        <f t="shared" ref="L332:L334" si="12">L331+J332-K332</f>
        <v>22220976.69</v>
      </c>
      <c r="M332" s="376"/>
      <c r="N332" s="373"/>
      <c r="O332" s="113"/>
      <c r="P332" s="113"/>
      <c r="Q332" s="347">
        <f t="shared" si="11"/>
        <v>0</v>
      </c>
      <c r="R332" s="279"/>
      <c r="S332" s="104"/>
      <c r="T332" s="104"/>
      <c r="U332" s="279"/>
      <c r="V332" s="279"/>
      <c r="W332" s="279"/>
      <c r="X332" s="279"/>
      <c r="Y332" s="279"/>
    </row>
    <row r="333" s="103" customFormat="1" ht="24.75" customHeight="1" spans="1:25">
      <c r="A333" s="362"/>
      <c r="B333" s="386"/>
      <c r="C333" s="387"/>
      <c r="D333" s="365"/>
      <c r="E333" s="375" t="str">
        <f>IF(D333="","",VLOOKUP(D333,'[4]Account Code'!$A$3:$D$273,2,0))</f>
        <v/>
      </c>
      <c r="F333" s="367"/>
      <c r="G333" s="368"/>
      <c r="H333" s="368"/>
      <c r="I333" s="369">
        <f>IFERROR(VLOOKUP(O333,[4]CREDITORS!A:B,2,0),"")</f>
        <v>0</v>
      </c>
      <c r="J333" s="370"/>
      <c r="K333" s="370"/>
      <c r="L333" s="371">
        <f t="shared" si="12"/>
        <v>22220976.69</v>
      </c>
      <c r="M333" s="376"/>
      <c r="N333" s="373"/>
      <c r="O333" s="113"/>
      <c r="P333" s="113"/>
      <c r="Q333" s="347">
        <f t="shared" si="11"/>
        <v>0</v>
      </c>
      <c r="R333" s="279"/>
      <c r="S333" s="104"/>
      <c r="T333" s="104"/>
      <c r="U333" s="279"/>
      <c r="V333" s="279"/>
      <c r="W333" s="279"/>
      <c r="X333" s="279"/>
      <c r="Y333" s="279"/>
    </row>
    <row r="334" s="103" customFormat="1" ht="24.75" customHeight="1" spans="1:25">
      <c r="B334" s="386"/>
      <c r="C334" s="387"/>
      <c r="D334" s="365"/>
      <c r="E334" s="375" t="str">
        <f>IF(D334="","",VLOOKUP(D334,'[4]Account Code'!$A$3:$D$273,2,0))</f>
        <v/>
      </c>
      <c r="F334" s="367"/>
      <c r="G334" s="368"/>
      <c r="H334" s="368"/>
      <c r="I334" s="369">
        <f>IFERROR(VLOOKUP(O334,[4]CREDITORS!A:B,2,0),"")</f>
        <v>0</v>
      </c>
      <c r="J334" s="370"/>
      <c r="K334" s="370"/>
      <c r="L334" s="371">
        <f t="shared" si="12"/>
        <v>22220976.69</v>
      </c>
      <c r="M334" s="376"/>
      <c r="N334" s="373"/>
      <c r="O334" s="113"/>
      <c r="P334" s="113"/>
      <c r="Q334" s="347">
        <f t="shared" si="11"/>
        <v>0</v>
      </c>
      <c r="R334" s="279"/>
      <c r="S334" s="104"/>
      <c r="T334" s="104"/>
      <c r="U334" s="279"/>
      <c r="V334" s="279"/>
      <c r="W334" s="279"/>
      <c r="X334" s="279"/>
      <c r="Y334" s="279"/>
    </row>
    <row r="342" s="103" customFormat="1" spans="1:25">
      <c r="A342" s="107"/>
      <c r="C342" s="108"/>
      <c r="D342" s="275"/>
      <c r="F342" s="108"/>
      <c r="G342" s="108"/>
      <c r="H342" s="108"/>
      <c r="I342" s="276"/>
      <c r="J342" s="277"/>
      <c r="K342" s="388"/>
      <c r="L342" s="278"/>
      <c r="N342" s="107"/>
      <c r="O342" s="113"/>
      <c r="P342" s="113"/>
      <c r="Q342" s="107"/>
      <c r="R342" s="279"/>
      <c r="S342" s="104"/>
      <c r="T342" s="104"/>
      <c r="U342" s="279"/>
      <c r="V342" s="279"/>
      <c r="W342" s="279"/>
      <c r="X342" s="279"/>
      <c r="Y342" s="279"/>
    </row>
    <row r="343" s="103" customFormat="1" spans="1:25">
      <c r="A343" s="107"/>
      <c r="C343" s="108"/>
      <c r="D343" s="275"/>
      <c r="F343" s="108"/>
      <c r="G343" s="108"/>
      <c r="H343" s="108"/>
      <c r="I343" s="276"/>
      <c r="J343" s="277"/>
      <c r="K343" s="388"/>
      <c r="L343" s="278"/>
      <c r="N343" s="107"/>
      <c r="O343" s="113"/>
      <c r="P343" s="113"/>
      <c r="Q343" s="107"/>
      <c r="R343" s="279"/>
      <c r="S343" s="104"/>
      <c r="T343" s="104"/>
      <c r="U343" s="279"/>
      <c r="V343" s="279"/>
      <c r="W343" s="279"/>
      <c r="X343" s="279"/>
      <c r="Y343" s="279"/>
    </row>
    <row r="344" s="103" customFormat="1" spans="1:25">
      <c r="A344" s="107"/>
      <c r="C344" s="108"/>
      <c r="D344" s="275"/>
      <c r="F344" s="108"/>
      <c r="G344" s="108"/>
      <c r="H344" s="108"/>
      <c r="I344" s="276"/>
      <c r="J344" s="277"/>
      <c r="K344" s="389"/>
      <c r="L344" s="278"/>
      <c r="N344" s="107"/>
      <c r="O344" s="113"/>
      <c r="P344" s="113"/>
      <c r="Q344" s="107"/>
      <c r="R344" s="279"/>
      <c r="S344" s="104"/>
      <c r="T344" s="104"/>
      <c r="U344" s="279"/>
      <c r="V344" s="279"/>
      <c r="W344" s="279"/>
      <c r="X344" s="279"/>
      <c r="Y344" s="279"/>
    </row>
    <row r="345" s="103" customFormat="1" spans="1:25">
      <c r="A345" s="107"/>
      <c r="C345" s="108"/>
      <c r="D345" s="275"/>
      <c r="F345" s="108"/>
      <c r="G345" s="108"/>
      <c r="H345" s="108"/>
      <c r="I345" s="276"/>
      <c r="J345" s="277"/>
      <c r="K345" s="388"/>
      <c r="L345" s="278"/>
      <c r="N345" s="107"/>
      <c r="O345" s="113"/>
      <c r="P345" s="113"/>
      <c r="Q345" s="107"/>
      <c r="R345" s="279"/>
      <c r="S345" s="104"/>
      <c r="T345" s="104"/>
      <c r="U345" s="279"/>
      <c r="V345" s="279"/>
      <c r="W345" s="279"/>
      <c r="X345" s="279"/>
      <c r="Y345" s="279"/>
    </row>
  </sheetData>
  <mergeCells count="15">
    <mergeCell ref="A1:B1"/>
    <mergeCell ref="C1:F1"/>
    <mergeCell ref="A2:B2"/>
    <mergeCell ref="D2:E2"/>
    <mergeCell ref="A3:B3"/>
    <mergeCell ref="C3:E3"/>
    <mergeCell ref="A4:B4"/>
    <mergeCell ref="D6:E6"/>
    <mergeCell ref="D7:E7"/>
    <mergeCell ref="A9:I9"/>
    <mergeCell ref="A10:I10"/>
    <mergeCell ref="G6:G7"/>
    <mergeCell ref="H6:H7"/>
    <mergeCell ref="M8:M10"/>
    <mergeCell ref="N6:N10"/>
  </mergeCells>
  <conditionalFormatting sqref="Q1:Q3 Q5:Q1048576">
    <cfRule type="cellIs" dxfId="0" priority="1" operator="greaterThan">
      <formula>42</formula>
    </cfRule>
  </conditionalFormatting>
  <dataValidations count="3">
    <dataValidation allowBlank="1" showInputMessage="1" showErrorMessage="1" sqref="D11:D334"/>
    <dataValidation type="list" allowBlank="1" showInputMessage="1" showErrorMessage="1" sqref="M11:M334">
      <formula1>LocalCOA</formula1>
    </dataValidation>
    <dataValidation type="list" allowBlank="1" showInputMessage="1" showErrorMessage="1" sqref="N11:N334">
      <formula1>DDList</formula1>
    </dataValidation>
  </dataValidation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297"/>
  <sheetViews>
    <sheetView topLeftCell="G2" workbookViewId="0">
      <selection activeCell="P38" sqref="P38"/>
    </sheetView>
  </sheetViews>
  <sheetFormatPr defaultColWidth="10.2857142857143" defaultRowHeight="12.75"/>
  <cols>
    <col min="1" max="1" width="7.57142857142857" style="107" customWidth="1"/>
    <col min="2" max="2" width="10.5714285714286" style="103" customWidth="1"/>
    <col min="3" max="3" width="39.2857142857143" style="108" customWidth="1"/>
    <col min="4" max="4" width="7.57142857142857" style="109" customWidth="1"/>
    <col min="5" max="5" width="26.4285714285714" style="103" customWidth="1"/>
    <col min="6" max="6" width="12.2857142857143" style="108" customWidth="1"/>
    <col min="7" max="7" width="8.28571428571429" style="108" customWidth="1" outlineLevel="3"/>
    <col min="8" max="8" width="9.14285714285714" style="108" customWidth="1" outlineLevel="3"/>
    <col min="9" max="9" width="26.4285714285714" style="108" customWidth="1"/>
    <col min="10" max="10" width="14.4285714285714" style="110" customWidth="1"/>
    <col min="11" max="11" width="14.4285714285714" style="111" customWidth="1"/>
    <col min="12" max="12" width="15.2857142857143" style="112" customWidth="1"/>
    <col min="13" max="13" width="26.2857142857143" style="103" customWidth="1"/>
    <col min="14" max="14" width="23.4285714285714" style="104" customWidth="1"/>
    <col min="15" max="15" width="9.28571428571429" style="113" customWidth="1"/>
    <col min="16" max="16" width="9.28571428571429" style="107" customWidth="1"/>
    <col min="17" max="17" width="13.5714285714286" style="103" customWidth="1"/>
    <col min="18" max="18" width="13.4285714285714" style="103" customWidth="1"/>
    <col min="19" max="19" width="13.4285714285714" style="107" customWidth="1"/>
    <col min="20" max="20" width="23" style="107" customWidth="1"/>
    <col min="21" max="21" width="13.4285714285714" style="107" customWidth="1"/>
    <col min="22" max="22" width="42.8571428571429" style="114" customWidth="1"/>
    <col min="23" max="23" width="11.4285714285714" style="107" customWidth="1"/>
    <col min="24" max="24" width="42.8571428571429" style="107" customWidth="1"/>
    <col min="25" max="16384" width="10.2857142857143" style="103"/>
  </cols>
  <sheetData>
    <row r="1" s="103" customFormat="1" ht="56.25" customHeight="1" spans="1:27">
      <c r="A1" s="115" t="s">
        <v>0</v>
      </c>
      <c r="B1" s="116"/>
      <c r="C1" s="117" t="s">
        <v>1</v>
      </c>
      <c r="D1" s="118"/>
      <c r="E1" s="118"/>
      <c r="F1" s="118"/>
      <c r="G1" s="119"/>
      <c r="H1" s="119"/>
      <c r="I1" s="120"/>
      <c r="J1" s="121"/>
      <c r="K1" s="122"/>
      <c r="L1" s="123"/>
      <c r="M1" s="124"/>
      <c r="N1" s="125"/>
      <c r="O1" s="125"/>
      <c r="P1" s="126"/>
      <c r="Q1" s="127"/>
      <c r="R1" s="124"/>
      <c r="S1" s="128"/>
      <c r="T1" s="128"/>
      <c r="U1" s="128"/>
      <c r="V1" s="129"/>
      <c r="W1" s="128"/>
      <c r="X1" s="128"/>
      <c r="Y1" s="124"/>
      <c r="Z1" s="124"/>
      <c r="AA1" s="124"/>
    </row>
    <row r="2" s="103" customFormat="1" ht="15" customHeight="1" spans="1:27">
      <c r="A2" s="130" t="s">
        <v>2</v>
      </c>
      <c r="B2" s="131"/>
      <c r="C2" s="132" t="str">
        <f>'[4]CashBook (US$bank)'!C2</f>
        <v>9665R7268</v>
      </c>
      <c r="D2" s="133" t="s">
        <v>59</v>
      </c>
      <c r="E2" s="134"/>
      <c r="F2" s="135">
        <f>[4]cover!B17</f>
        <v>46120</v>
      </c>
      <c r="G2" s="119"/>
      <c r="H2" s="119"/>
      <c r="I2" s="119"/>
      <c r="J2" s="121"/>
      <c r="K2" s="136"/>
      <c r="L2" s="137" t="s">
        <v>5</v>
      </c>
      <c r="M2" s="124"/>
      <c r="N2" s="124"/>
      <c r="O2" s="138"/>
      <c r="P2" s="139"/>
      <c r="Q2" s="124"/>
      <c r="R2" s="124"/>
      <c r="S2" s="128"/>
      <c r="T2" s="128"/>
      <c r="U2" s="128"/>
      <c r="V2" s="129"/>
      <c r="W2" s="128"/>
      <c r="X2" s="128"/>
      <c r="Y2" s="124"/>
      <c r="Z2" s="124"/>
      <c r="AA2" s="124"/>
    </row>
    <row r="3" s="104" customFormat="1" ht="15" customHeight="1" spans="1:27">
      <c r="A3" s="140" t="s">
        <v>6</v>
      </c>
      <c r="B3" s="141"/>
      <c r="C3" s="142" t="s">
        <v>50</v>
      </c>
      <c r="D3" s="143"/>
      <c r="E3" s="144"/>
      <c r="F3" s="145" t="s">
        <v>51</v>
      </c>
      <c r="G3" s="146"/>
      <c r="H3" s="146"/>
      <c r="I3" s="146"/>
      <c r="J3" s="147"/>
      <c r="K3" s="148"/>
      <c r="L3" s="149" t="s">
        <v>9</v>
      </c>
      <c r="M3" s="150"/>
      <c r="N3" s="150"/>
      <c r="O3" s="138"/>
      <c r="P3" s="139"/>
      <c r="Q3" s="150"/>
      <c r="R3" s="150"/>
      <c r="S3" s="139"/>
      <c r="T3" s="139"/>
      <c r="U3" s="139"/>
      <c r="V3" s="151"/>
      <c r="W3" s="139"/>
      <c r="X3" s="139"/>
      <c r="Y3" s="150"/>
      <c r="Z3" s="150"/>
      <c r="AA3" s="150"/>
    </row>
    <row r="4" s="104" customFormat="1" ht="15" customHeight="1" spans="1:27">
      <c r="A4" s="152" t="s">
        <v>10</v>
      </c>
      <c r="B4" s="153"/>
      <c r="C4" s="154" t="s">
        <v>47</v>
      </c>
      <c r="D4" s="155"/>
      <c r="E4" s="156"/>
      <c r="F4" s="157" t="s">
        <v>60</v>
      </c>
      <c r="G4" s="146"/>
      <c r="H4" s="146"/>
      <c r="I4" s="146"/>
      <c r="J4" s="147"/>
      <c r="K4" s="158"/>
      <c r="L4" s="149" t="s">
        <v>13</v>
      </c>
      <c r="M4" s="150"/>
      <c r="N4" s="150"/>
      <c r="O4" s="138"/>
      <c r="P4" s="139"/>
      <c r="Q4" s="150"/>
      <c r="R4" s="150"/>
      <c r="S4" s="139"/>
      <c r="T4" s="139"/>
      <c r="U4" s="139"/>
      <c r="V4" s="151"/>
      <c r="W4" s="139"/>
      <c r="X4" s="139"/>
      <c r="Y4" s="150"/>
      <c r="Z4" s="150"/>
      <c r="AA4" s="150"/>
    </row>
    <row r="5" s="103" customFormat="1" ht="15.75" customHeight="1" spans="1:27">
      <c r="A5" s="124"/>
      <c r="B5" s="159"/>
      <c r="C5" s="119"/>
      <c r="D5" s="160"/>
      <c r="E5" s="119"/>
      <c r="F5" s="119"/>
      <c r="G5" s="119"/>
      <c r="H5" s="119"/>
      <c r="I5" s="119"/>
      <c r="J5" s="121"/>
      <c r="K5" s="122"/>
      <c r="L5" s="123"/>
      <c r="M5" s="124"/>
      <c r="N5" s="124"/>
      <c r="O5" s="138"/>
      <c r="P5" s="128"/>
      <c r="Q5" s="124"/>
      <c r="R5" s="124"/>
      <c r="S5" s="128"/>
      <c r="T5" s="128"/>
      <c r="U5" s="128"/>
      <c r="V5" s="129"/>
      <c r="W5" s="128"/>
      <c r="X5" s="128"/>
      <c r="Y5" s="124"/>
      <c r="Z5" s="124"/>
      <c r="AA5" s="124"/>
    </row>
    <row r="6" s="103" customFormat="1" ht="18.75" customHeight="1" spans="1:27">
      <c r="A6" s="161" t="s">
        <v>14</v>
      </c>
      <c r="B6" s="162" t="s">
        <v>15</v>
      </c>
      <c r="C6" s="163" t="s">
        <v>16</v>
      </c>
      <c r="D6" s="164" t="s">
        <v>17</v>
      </c>
      <c r="E6" s="165"/>
      <c r="F6" s="166" t="s">
        <v>18</v>
      </c>
      <c r="G6" s="167" t="s">
        <v>19</v>
      </c>
      <c r="H6" s="167" t="s">
        <v>20</v>
      </c>
      <c r="I6" s="163" t="s">
        <v>21</v>
      </c>
      <c r="J6" s="168" t="s">
        <v>22</v>
      </c>
      <c r="K6" s="168" t="s">
        <v>23</v>
      </c>
      <c r="L6" s="169" t="s">
        <v>24</v>
      </c>
      <c r="M6" s="170" t="s">
        <v>25</v>
      </c>
      <c r="N6" s="171" t="s">
        <v>26</v>
      </c>
      <c r="O6" s="138"/>
      <c r="P6" s="128"/>
      <c r="Q6" s="124"/>
      <c r="R6" s="124"/>
      <c r="S6" s="128"/>
      <c r="T6" s="128"/>
      <c r="U6" s="128"/>
      <c r="V6" s="129"/>
      <c r="W6" s="128"/>
      <c r="X6" s="128"/>
      <c r="Y6" s="124"/>
      <c r="Z6" s="124"/>
      <c r="AA6" s="124"/>
    </row>
    <row r="7" s="103" customFormat="1" ht="18.75" customHeight="1" spans="1:27">
      <c r="A7" s="172" t="s">
        <v>27</v>
      </c>
      <c r="B7" s="173" t="s">
        <v>28</v>
      </c>
      <c r="C7" s="174" t="s">
        <v>29</v>
      </c>
      <c r="D7" s="175" t="s">
        <v>30</v>
      </c>
      <c r="E7" s="176"/>
      <c r="F7" s="174"/>
      <c r="G7" s="174"/>
      <c r="H7" s="177"/>
      <c r="I7" s="174" t="s">
        <v>31</v>
      </c>
      <c r="J7" s="178" t="s">
        <v>32</v>
      </c>
      <c r="K7" s="178" t="s">
        <v>33</v>
      </c>
      <c r="L7" s="179" t="s">
        <v>34</v>
      </c>
      <c r="M7" s="180" t="s">
        <v>35</v>
      </c>
      <c r="N7" s="181"/>
      <c r="O7" s="138"/>
      <c r="P7" s="128"/>
      <c r="Q7" s="124"/>
      <c r="R7" s="124"/>
      <c r="S7" s="128"/>
      <c r="T7" s="128"/>
      <c r="U7" s="128"/>
      <c r="V7" s="129"/>
      <c r="W7" s="128"/>
      <c r="X7" s="128"/>
      <c r="Y7" s="124"/>
      <c r="Z7" s="124"/>
      <c r="AA7" s="124"/>
    </row>
    <row r="8" s="105" customFormat="1" ht="15" customHeight="1" spans="1:27">
      <c r="A8" s="182"/>
      <c r="B8" s="183" t="s">
        <v>36</v>
      </c>
      <c r="C8" s="184"/>
      <c r="D8" s="185"/>
      <c r="E8" s="184" t="s">
        <v>37</v>
      </c>
      <c r="F8" s="184"/>
      <c r="G8" s="184"/>
      <c r="H8" s="186"/>
      <c r="I8" s="187"/>
      <c r="J8" s="188"/>
      <c r="K8" s="189"/>
      <c r="L8" s="190" t="s">
        <v>38</v>
      </c>
      <c r="M8" s="191" t="s">
        <v>39</v>
      </c>
      <c r="N8" s="181"/>
      <c r="O8" s="192"/>
      <c r="P8" s="193"/>
      <c r="Q8" s="194"/>
      <c r="R8" s="194"/>
      <c r="S8" s="193"/>
      <c r="T8" s="193"/>
      <c r="U8" s="193"/>
      <c r="V8" s="195"/>
      <c r="W8" s="193"/>
      <c r="X8" s="193"/>
      <c r="Y8" s="194"/>
      <c r="Z8" s="194"/>
      <c r="AA8" s="194"/>
    </row>
    <row r="9" s="103" customFormat="1" ht="24" customHeight="1" spans="1:27">
      <c r="A9" s="196" t="s">
        <v>61</v>
      </c>
      <c r="B9" s="197"/>
      <c r="C9" s="197"/>
      <c r="D9" s="197"/>
      <c r="E9" s="197"/>
      <c r="F9" s="197"/>
      <c r="G9" s="197"/>
      <c r="H9" s="197"/>
      <c r="I9" s="198"/>
      <c r="J9" s="199"/>
      <c r="K9" s="200"/>
      <c r="L9" s="201">
        <v>34023.8100000002</v>
      </c>
      <c r="M9" s="202"/>
      <c r="N9" s="181"/>
      <c r="O9" s="138"/>
      <c r="P9" s="139"/>
      <c r="Q9" s="124"/>
      <c r="R9" s="124"/>
      <c r="S9" s="128"/>
      <c r="T9" s="128"/>
      <c r="U9" s="128"/>
      <c r="V9" s="129"/>
      <c r="W9" s="128"/>
      <c r="X9" s="128"/>
      <c r="Y9" s="124"/>
      <c r="Z9" s="124"/>
      <c r="AA9" s="124"/>
    </row>
    <row r="10" s="103" customFormat="1" ht="24" customHeight="1" spans="1:27">
      <c r="A10" s="203" t="s">
        <v>41</v>
      </c>
      <c r="B10" s="204"/>
      <c r="C10" s="204"/>
      <c r="D10" s="204"/>
      <c r="E10" s="204"/>
      <c r="F10" s="204"/>
      <c r="G10" s="204"/>
      <c r="H10" s="204"/>
      <c r="I10" s="205"/>
      <c r="J10" s="206">
        <f>(SUM(J11:J226))</f>
        <v>0</v>
      </c>
      <c r="K10" s="207">
        <f>SUM(K11:K226)</f>
        <v>0</v>
      </c>
      <c r="L10" s="208">
        <f t="shared" ref="L10:L74" si="0">+L9+J10-K10</f>
        <v>34023.8100000002</v>
      </c>
      <c r="M10" s="209"/>
      <c r="N10" s="210"/>
      <c r="O10" s="138" t="s">
        <v>42</v>
      </c>
      <c r="P10" s="139"/>
      <c r="Q10" s="211" t="s">
        <v>57</v>
      </c>
      <c r="R10" s="211" t="s">
        <v>58</v>
      </c>
      <c r="S10" s="211" t="s">
        <v>43</v>
      </c>
      <c r="T10" s="211" t="s">
        <v>44</v>
      </c>
      <c r="U10" s="211" t="s">
        <v>45</v>
      </c>
      <c r="V10" s="139" t="s">
        <v>29</v>
      </c>
      <c r="W10" s="211" t="s">
        <v>45</v>
      </c>
      <c r="X10" s="139" t="s">
        <v>29</v>
      </c>
      <c r="Y10" s="139" t="s">
        <v>62</v>
      </c>
      <c r="Z10" s="211" t="s">
        <v>63</v>
      </c>
      <c r="AA10" s="139" t="s">
        <v>64</v>
      </c>
    </row>
    <row r="11" s="106" customFormat="1" ht="24" customHeight="1" spans="1:27">
      <c r="A11" s="212"/>
      <c r="B11" s="213"/>
      <c r="C11" s="214"/>
      <c r="D11" s="215"/>
      <c r="E11" s="216" t="str">
        <f>IF(D11="","",VLOOKUP(D11,'[4]Account Code'!$A$3:$D$272,2,0))</f>
        <v/>
      </c>
      <c r="F11" s="217"/>
      <c r="G11" s="218"/>
      <c r="H11" s="218"/>
      <c r="I11" s="219">
        <f>IFERROR(VLOOKUP(O11,[4]CREDITORS!A:B,2,0),"")</f>
        <v>0</v>
      </c>
      <c r="J11" s="220"/>
      <c r="K11" s="221"/>
      <c r="L11" s="222">
        <f>L9+J11-K11</f>
        <v>34023.8100000002</v>
      </c>
      <c r="M11" s="223"/>
      <c r="N11" s="224"/>
      <c r="O11" s="192"/>
      <c r="P11" s="211">
        <f t="shared" ref="P11:P74" si="1">(LEN(C11))</f>
        <v>0</v>
      </c>
      <c r="Q11" s="211"/>
      <c r="R11" s="211"/>
      <c r="S11" s="211"/>
      <c r="T11" s="139" t="s">
        <v>65</v>
      </c>
      <c r="U11" s="139"/>
      <c r="V11" s="225"/>
      <c r="W11" s="211"/>
      <c r="X11" s="211"/>
      <c r="Y11" s="226"/>
      <c r="Z11" s="226"/>
      <c r="AA11" s="226"/>
    </row>
    <row r="12" s="106" customFormat="1" ht="24" customHeight="1" spans="1:27">
      <c r="A12" s="212"/>
      <c r="B12" s="213"/>
      <c r="C12" s="214"/>
      <c r="D12" s="215"/>
      <c r="E12" s="216" t="str">
        <f>IF(D12="","",VLOOKUP(D12,'[4]Account Code'!$A$3:$D$272,2,0))</f>
        <v/>
      </c>
      <c r="F12" s="217"/>
      <c r="G12" s="218"/>
      <c r="H12" s="218"/>
      <c r="I12" s="219">
        <f>IFERROR(VLOOKUP(O12,[4]CREDITORS!A:B,2,0),"")</f>
        <v>0</v>
      </c>
      <c r="J12" s="220"/>
      <c r="K12" s="221"/>
      <c r="L12" s="222">
        <f t="shared" si="0"/>
        <v>34023.8100000002</v>
      </c>
      <c r="M12" s="227"/>
      <c r="N12" s="224"/>
      <c r="O12" s="192"/>
      <c r="P12" s="211">
        <f t="shared" si="1"/>
        <v>0</v>
      </c>
      <c r="Q12" s="211"/>
      <c r="R12" s="211"/>
      <c r="S12" s="211"/>
      <c r="T12" s="139" t="s">
        <v>65</v>
      </c>
      <c r="U12" s="139"/>
      <c r="V12" s="225"/>
      <c r="W12" s="211"/>
      <c r="X12" s="211"/>
      <c r="Y12" s="226"/>
      <c r="Z12" s="226"/>
      <c r="AA12" s="226"/>
    </row>
    <row r="13" s="106" customFormat="1" ht="24" customHeight="1" spans="1:27">
      <c r="A13" s="212"/>
      <c r="B13" s="213"/>
      <c r="C13" s="214"/>
      <c r="D13" s="215"/>
      <c r="E13" s="216" t="str">
        <f>IF(D13="","",VLOOKUP(D13,'[4]Account Code'!$A$3:$D$272,2,0))</f>
        <v/>
      </c>
      <c r="F13" s="217"/>
      <c r="G13" s="218"/>
      <c r="H13" s="218"/>
      <c r="I13" s="219">
        <f>IFERROR(VLOOKUP(O13,[4]CREDITORS!A:B,2,0),"")</f>
        <v>0</v>
      </c>
      <c r="J13" s="220"/>
      <c r="K13" s="221"/>
      <c r="L13" s="222">
        <f t="shared" si="0"/>
        <v>34023.8100000002</v>
      </c>
      <c r="M13" s="227"/>
      <c r="N13" s="224"/>
      <c r="O13" s="192"/>
      <c r="P13" s="211">
        <f t="shared" si="1"/>
        <v>0</v>
      </c>
      <c r="Q13" s="211"/>
      <c r="R13" s="211"/>
      <c r="S13" s="211"/>
      <c r="T13" s="139" t="s">
        <v>65</v>
      </c>
      <c r="U13" s="139"/>
      <c r="V13" s="225"/>
      <c r="W13" s="211"/>
      <c r="X13" s="211"/>
      <c r="Y13" s="226"/>
      <c r="Z13" s="226"/>
      <c r="AA13" s="226"/>
    </row>
    <row r="14" s="106" customFormat="1" ht="24" customHeight="1" spans="1:27">
      <c r="A14" s="212"/>
      <c r="B14" s="213"/>
      <c r="C14" s="214"/>
      <c r="D14" s="215"/>
      <c r="E14" s="216" t="str">
        <f>IF(D14="","",VLOOKUP(D14,'[4]Account Code'!$A$3:$D$272,2,0))</f>
        <v/>
      </c>
      <c r="F14" s="217"/>
      <c r="G14" s="218"/>
      <c r="H14" s="218"/>
      <c r="I14" s="219">
        <f>IFERROR(VLOOKUP(O14,[4]CREDITORS!A:B,2,0),"")</f>
        <v>0</v>
      </c>
      <c r="J14" s="220"/>
      <c r="K14" s="221"/>
      <c r="L14" s="222">
        <f t="shared" si="0"/>
        <v>34023.8100000002</v>
      </c>
      <c r="M14" s="227"/>
      <c r="N14" s="224"/>
      <c r="O14" s="192"/>
      <c r="P14" s="211">
        <f t="shared" si="1"/>
        <v>0</v>
      </c>
      <c r="Q14" s="211"/>
      <c r="R14" s="211"/>
      <c r="S14" s="211"/>
      <c r="T14" s="139" t="s">
        <v>65</v>
      </c>
      <c r="U14" s="139"/>
      <c r="V14" s="225"/>
      <c r="W14" s="211"/>
      <c r="X14" s="211"/>
      <c r="Y14" s="226"/>
      <c r="Z14" s="226"/>
      <c r="AA14" s="226"/>
    </row>
    <row r="15" s="106" customFormat="1" ht="24" customHeight="1" spans="1:27">
      <c r="A15" s="212"/>
      <c r="B15" s="213"/>
      <c r="C15" s="214"/>
      <c r="D15" s="215"/>
      <c r="E15" s="216" t="str">
        <f>IF(D15="","",VLOOKUP(D15,'[4]Account Code'!$A$3:$D$272,2,0))</f>
        <v/>
      </c>
      <c r="F15" s="217"/>
      <c r="G15" s="218"/>
      <c r="H15" s="218"/>
      <c r="I15" s="219">
        <f>IFERROR(VLOOKUP(O15,[4]CREDITORS!A:B,2,0),"")</f>
        <v>0</v>
      </c>
      <c r="J15" s="220"/>
      <c r="K15" s="221"/>
      <c r="L15" s="222">
        <f t="shared" si="0"/>
        <v>34023.8100000002</v>
      </c>
      <c r="M15" s="227"/>
      <c r="N15" s="224"/>
      <c r="O15" s="192"/>
      <c r="P15" s="211">
        <f t="shared" si="1"/>
        <v>0</v>
      </c>
      <c r="Q15" s="211"/>
      <c r="R15" s="211"/>
      <c r="S15" s="211"/>
      <c r="T15" s="139" t="s">
        <v>65</v>
      </c>
      <c r="U15" s="139"/>
      <c r="V15" s="225"/>
      <c r="W15" s="211"/>
      <c r="X15" s="211"/>
      <c r="Y15" s="226"/>
      <c r="Z15" s="226"/>
      <c r="AA15" s="226"/>
    </row>
    <row r="16" s="106" customFormat="1" ht="24.75" customHeight="1" spans="1:27">
      <c r="A16" s="212"/>
      <c r="B16" s="213"/>
      <c r="C16" s="214"/>
      <c r="D16" s="215"/>
      <c r="E16" s="216" t="str">
        <f>IF(D16="","",VLOOKUP(D16,'[4]Account Code'!$A$3:$D$272,2,0))</f>
        <v/>
      </c>
      <c r="F16" s="217"/>
      <c r="G16" s="218"/>
      <c r="H16" s="218"/>
      <c r="I16" s="219">
        <f>IFERROR(VLOOKUP(O16,[4]CREDITORS!A:B,2,0),"")</f>
        <v>0</v>
      </c>
      <c r="J16" s="220"/>
      <c r="K16" s="221"/>
      <c r="L16" s="222">
        <f t="shared" si="0"/>
        <v>34023.8100000002</v>
      </c>
      <c r="M16" s="227"/>
      <c r="N16" s="224"/>
      <c r="O16" s="192"/>
      <c r="P16" s="211">
        <f t="shared" si="1"/>
        <v>0</v>
      </c>
      <c r="Q16" s="211"/>
      <c r="R16" s="211"/>
      <c r="S16" s="211"/>
      <c r="T16" s="139" t="s">
        <v>65</v>
      </c>
      <c r="U16" s="139"/>
      <c r="V16" s="225"/>
      <c r="W16" s="211"/>
      <c r="X16" s="211"/>
      <c r="Y16" s="226"/>
      <c r="Z16" s="226"/>
      <c r="AA16" s="226"/>
    </row>
    <row r="17" s="106" customFormat="1" ht="23.45" customHeight="1" spans="1:27">
      <c r="A17" s="212"/>
      <c r="B17" s="213"/>
      <c r="C17" s="214"/>
      <c r="D17" s="215"/>
      <c r="E17" s="216" t="str">
        <f>IF(D17="","",VLOOKUP(D17,'[4]Account Code'!$A$3:$D$272,2,0))</f>
        <v/>
      </c>
      <c r="F17" s="217"/>
      <c r="G17" s="218"/>
      <c r="H17" s="218"/>
      <c r="I17" s="219">
        <f>IFERROR(VLOOKUP(O17,[4]CREDITORS!A:B,2,0),"")</f>
        <v>0</v>
      </c>
      <c r="J17" s="220"/>
      <c r="K17" s="221"/>
      <c r="L17" s="222">
        <f t="shared" si="0"/>
        <v>34023.8100000002</v>
      </c>
      <c r="M17" s="227"/>
      <c r="N17" s="224"/>
      <c r="O17" s="192"/>
      <c r="P17" s="211">
        <f t="shared" si="1"/>
        <v>0</v>
      </c>
      <c r="Q17" s="211"/>
      <c r="R17" s="211"/>
      <c r="S17" s="211"/>
      <c r="T17" s="139" t="s">
        <v>65</v>
      </c>
      <c r="U17" s="139"/>
      <c r="V17" s="225"/>
      <c r="W17" s="211"/>
      <c r="X17" s="211"/>
      <c r="Y17" s="226"/>
      <c r="Z17" s="226"/>
      <c r="AA17" s="226"/>
    </row>
    <row r="18" s="106" customFormat="1" ht="24" customHeight="1" spans="1:27">
      <c r="A18" s="212"/>
      <c r="B18" s="213"/>
      <c r="C18" s="214"/>
      <c r="D18" s="215"/>
      <c r="E18" s="216" t="str">
        <f>IF(D18="","",VLOOKUP(D18,'[4]Account Code'!$A$3:$D$272,2,0))</f>
        <v/>
      </c>
      <c r="F18" s="217"/>
      <c r="G18" s="218"/>
      <c r="H18" s="218"/>
      <c r="I18" s="219">
        <f>IFERROR(VLOOKUP(O18,[4]CREDITORS!A:B,2,0),"")</f>
        <v>0</v>
      </c>
      <c r="J18" s="220"/>
      <c r="K18" s="221"/>
      <c r="L18" s="222">
        <f t="shared" si="0"/>
        <v>34023.8100000002</v>
      </c>
      <c r="M18" s="227"/>
      <c r="N18" s="224"/>
      <c r="O18" s="192"/>
      <c r="P18" s="211">
        <f t="shared" si="1"/>
        <v>0</v>
      </c>
      <c r="Q18" s="211"/>
      <c r="R18" s="211"/>
      <c r="S18" s="211"/>
      <c r="T18" s="139" t="s">
        <v>65</v>
      </c>
      <c r="U18" s="139"/>
      <c r="V18" s="225"/>
      <c r="W18" s="211"/>
      <c r="X18" s="211"/>
      <c r="Y18" s="226"/>
      <c r="Z18" s="226"/>
      <c r="AA18" s="226"/>
    </row>
    <row r="19" s="106" customFormat="1" ht="24" customHeight="1" spans="1:27">
      <c r="A19" s="212"/>
      <c r="B19" s="213"/>
      <c r="C19" s="214"/>
      <c r="D19" s="215"/>
      <c r="E19" s="216" t="str">
        <f>IF(D19="","",VLOOKUP(D19,'[4]Account Code'!$A$3:$D$272,2,0))</f>
        <v/>
      </c>
      <c r="F19" s="217"/>
      <c r="G19" s="228"/>
      <c r="H19" s="218"/>
      <c r="I19" s="219">
        <f>IFERROR(VLOOKUP(O19,[4]CREDITORS!A:B,2,0),"")</f>
        <v>0</v>
      </c>
      <c r="J19" s="229"/>
      <c r="K19" s="221"/>
      <c r="L19" s="230">
        <f t="shared" si="0"/>
        <v>34023.8100000002</v>
      </c>
      <c r="M19" s="231"/>
      <c r="N19" s="224"/>
      <c r="O19" s="192"/>
      <c r="P19" s="211">
        <f t="shared" si="1"/>
        <v>0</v>
      </c>
      <c r="Q19" s="211"/>
      <c r="R19" s="211"/>
      <c r="S19" s="211"/>
      <c r="T19" s="139" t="s">
        <v>65</v>
      </c>
      <c r="U19" s="139"/>
      <c r="V19" s="225"/>
      <c r="W19" s="211"/>
      <c r="X19" s="211"/>
      <c r="Y19" s="226"/>
      <c r="Z19" s="226"/>
      <c r="AA19" s="226"/>
    </row>
    <row r="20" s="106" customFormat="1" ht="24" customHeight="1" spans="1:27">
      <c r="A20" s="212"/>
      <c r="B20" s="213"/>
      <c r="C20" s="214"/>
      <c r="D20" s="215"/>
      <c r="E20" s="216" t="str">
        <f>IF(D20="","",VLOOKUP(D20,'[4]Account Code'!$A$3:$D$272,2,0))</f>
        <v/>
      </c>
      <c r="F20" s="217"/>
      <c r="G20" s="228"/>
      <c r="H20" s="218"/>
      <c r="I20" s="219">
        <f>IFERROR(VLOOKUP(O20,[4]CREDITORS!A:B,2,0),"")</f>
        <v>0</v>
      </c>
      <c r="J20" s="221"/>
      <c r="K20" s="221"/>
      <c r="L20" s="230">
        <f t="shared" si="0"/>
        <v>34023.8100000002</v>
      </c>
      <c r="M20" s="231"/>
      <c r="N20" s="224"/>
      <c r="O20" s="192"/>
      <c r="P20" s="211">
        <f t="shared" si="1"/>
        <v>0</v>
      </c>
      <c r="Q20" s="211"/>
      <c r="R20" s="211"/>
      <c r="S20" s="211"/>
      <c r="T20" s="139" t="s">
        <v>65</v>
      </c>
      <c r="U20" s="139"/>
      <c r="V20" s="225"/>
      <c r="W20" s="211"/>
      <c r="X20" s="211"/>
      <c r="Y20" s="226"/>
      <c r="Z20" s="226"/>
      <c r="AA20" s="226"/>
    </row>
    <row r="21" s="106" customFormat="1" ht="24" customHeight="1" spans="1:27">
      <c r="A21" s="212"/>
      <c r="B21" s="213"/>
      <c r="C21" s="214"/>
      <c r="D21" s="215"/>
      <c r="E21" s="216" t="str">
        <f>IF(D21="","",VLOOKUP(D21,'[4]Account Code'!$A$3:$D$272,2,0))</f>
        <v/>
      </c>
      <c r="F21" s="217"/>
      <c r="G21" s="228"/>
      <c r="H21" s="218"/>
      <c r="I21" s="219">
        <f>IFERROR(VLOOKUP(O21,[4]CREDITORS!A:B,2,0),"")</f>
        <v>0</v>
      </c>
      <c r="J21" s="229"/>
      <c r="K21" s="221"/>
      <c r="L21" s="230">
        <f t="shared" si="0"/>
        <v>34023.8100000002</v>
      </c>
      <c r="M21" s="231"/>
      <c r="N21" s="224"/>
      <c r="O21" s="192"/>
      <c r="P21" s="211">
        <f t="shared" si="1"/>
        <v>0</v>
      </c>
      <c r="Q21" s="211"/>
      <c r="R21" s="211"/>
      <c r="S21" s="211"/>
      <c r="T21" s="139" t="s">
        <v>65</v>
      </c>
      <c r="U21" s="139"/>
      <c r="V21" s="225"/>
      <c r="W21" s="211"/>
      <c r="X21" s="211"/>
      <c r="Y21" s="226"/>
      <c r="Z21" s="226"/>
      <c r="AA21" s="226"/>
    </row>
    <row r="22" s="106" customFormat="1" ht="24" customHeight="1" spans="1:27">
      <c r="A22" s="212"/>
      <c r="B22" s="213"/>
      <c r="C22" s="214"/>
      <c r="D22" s="215"/>
      <c r="E22" s="216" t="str">
        <f>IF(D22="","",VLOOKUP(D22,'[4]Account Code'!$A$3:$D$272,2,0))</f>
        <v/>
      </c>
      <c r="F22" s="217"/>
      <c r="G22" s="228"/>
      <c r="H22" s="218"/>
      <c r="I22" s="219">
        <f>IFERROR(VLOOKUP(O22,[4]CREDITORS!A:B,2,0),"")</f>
        <v>0</v>
      </c>
      <c r="J22" s="229"/>
      <c r="K22" s="221"/>
      <c r="L22" s="230">
        <f t="shared" si="0"/>
        <v>34023.8100000002</v>
      </c>
      <c r="M22" s="231"/>
      <c r="N22" s="224"/>
      <c r="O22" s="192"/>
      <c r="P22" s="211">
        <f t="shared" si="1"/>
        <v>0</v>
      </c>
      <c r="Q22" s="211"/>
      <c r="R22" s="211"/>
      <c r="S22" s="211"/>
      <c r="T22" s="139" t="s">
        <v>65</v>
      </c>
      <c r="U22" s="139"/>
      <c r="V22" s="225"/>
      <c r="W22" s="211"/>
      <c r="X22" s="211"/>
      <c r="Y22" s="226"/>
      <c r="Z22" s="226"/>
      <c r="AA22" s="226"/>
    </row>
    <row r="23" s="106" customFormat="1" ht="24" customHeight="1" spans="1:27">
      <c r="A23" s="212"/>
      <c r="B23" s="213"/>
      <c r="C23" s="214"/>
      <c r="D23" s="215"/>
      <c r="E23" s="216" t="str">
        <f>IF(D23="","",VLOOKUP(D23,'[4]Account Code'!$A$3:$D$272,2,0))</f>
        <v/>
      </c>
      <c r="F23" s="217"/>
      <c r="G23" s="228"/>
      <c r="H23" s="218"/>
      <c r="I23" s="219">
        <f>IFERROR(VLOOKUP(O23,[4]CREDITORS!A:B,2,0),"")</f>
        <v>0</v>
      </c>
      <c r="J23" s="220"/>
      <c r="K23" s="221"/>
      <c r="L23" s="230">
        <f t="shared" si="0"/>
        <v>34023.8100000002</v>
      </c>
      <c r="M23" s="231"/>
      <c r="N23" s="224"/>
      <c r="O23" s="192"/>
      <c r="P23" s="211">
        <f t="shared" si="1"/>
        <v>0</v>
      </c>
      <c r="Q23" s="211"/>
      <c r="R23" s="211"/>
      <c r="S23" s="211"/>
      <c r="T23" s="139" t="s">
        <v>65</v>
      </c>
      <c r="U23" s="139"/>
      <c r="V23" s="225"/>
      <c r="W23" s="211"/>
      <c r="X23" s="211"/>
      <c r="Y23" s="226"/>
      <c r="Z23" s="226"/>
      <c r="AA23" s="226"/>
    </row>
    <row r="24" s="106" customFormat="1" ht="24" customHeight="1" spans="1:27">
      <c r="A24" s="212"/>
      <c r="B24" s="213"/>
      <c r="C24" s="214"/>
      <c r="D24" s="215"/>
      <c r="E24" s="216" t="str">
        <f>IF(D24="","",VLOOKUP(D24,'[4]Account Code'!$A$3:$D$272,2,0))</f>
        <v/>
      </c>
      <c r="F24" s="217"/>
      <c r="G24" s="232"/>
      <c r="H24" s="218"/>
      <c r="I24" s="219">
        <f>IFERROR(VLOOKUP(O24,[4]CREDITORS!A:B,2,0),"")</f>
        <v>0</v>
      </c>
      <c r="J24" s="220"/>
      <c r="K24" s="221"/>
      <c r="L24" s="230">
        <f t="shared" si="0"/>
        <v>34023.8100000002</v>
      </c>
      <c r="M24" s="231"/>
      <c r="N24" s="224"/>
      <c r="O24" s="192"/>
      <c r="P24" s="211">
        <f t="shared" si="1"/>
        <v>0</v>
      </c>
      <c r="Q24" s="211"/>
      <c r="R24" s="211"/>
      <c r="S24" s="211"/>
      <c r="T24" s="139" t="s">
        <v>65</v>
      </c>
      <c r="U24" s="139"/>
      <c r="V24" s="225"/>
      <c r="W24" s="211"/>
      <c r="X24" s="211"/>
      <c r="Y24" s="226"/>
      <c r="Z24" s="226"/>
      <c r="AA24" s="226"/>
    </row>
    <row r="25" s="106" customFormat="1" ht="24" customHeight="1" spans="1:27">
      <c r="A25" s="212"/>
      <c r="B25" s="213"/>
      <c r="C25" s="214"/>
      <c r="D25" s="215"/>
      <c r="E25" s="216" t="str">
        <f>IF(D25="","",VLOOKUP(D25,'[4]Account Code'!$A$3:$D$272,2,0))</f>
        <v/>
      </c>
      <c r="F25" s="217"/>
      <c r="G25" s="232"/>
      <c r="H25" s="218"/>
      <c r="I25" s="219">
        <f>IFERROR(VLOOKUP(O25,[4]CREDITORS!A:B,2,0),"")</f>
        <v>0</v>
      </c>
      <c r="J25" s="220"/>
      <c r="K25" s="221"/>
      <c r="L25" s="230">
        <f t="shared" si="0"/>
        <v>34023.8100000002</v>
      </c>
      <c r="M25" s="231"/>
      <c r="N25" s="224"/>
      <c r="O25" s="192"/>
      <c r="P25" s="211">
        <f t="shared" si="1"/>
        <v>0</v>
      </c>
      <c r="Q25" s="211"/>
      <c r="R25" s="211"/>
      <c r="S25" s="211"/>
      <c r="T25" s="139" t="s">
        <v>65</v>
      </c>
      <c r="U25" s="139"/>
      <c r="V25" s="225"/>
      <c r="W25" s="211"/>
      <c r="X25" s="211"/>
      <c r="Y25" s="226"/>
      <c r="Z25" s="226"/>
      <c r="AA25" s="226"/>
    </row>
    <row r="26" s="106" customFormat="1" ht="24" customHeight="1" spans="1:27">
      <c r="A26" s="212"/>
      <c r="B26" s="213"/>
      <c r="C26" s="214"/>
      <c r="D26" s="215"/>
      <c r="E26" s="216" t="str">
        <f>IF(D26="","",VLOOKUP(D26,'[4]Account Code'!$A$3:$D$272,2,0))</f>
        <v/>
      </c>
      <c r="F26" s="217"/>
      <c r="G26" s="228"/>
      <c r="H26" s="218"/>
      <c r="I26" s="219">
        <f>IFERROR(VLOOKUP(O26,[4]CREDITORS!A:B,2,0),"")</f>
        <v>0</v>
      </c>
      <c r="J26" s="220"/>
      <c r="K26" s="221"/>
      <c r="L26" s="230">
        <f t="shared" si="0"/>
        <v>34023.8100000002</v>
      </c>
      <c r="M26" s="227"/>
      <c r="N26" s="224"/>
      <c r="O26" s="192"/>
      <c r="P26" s="211">
        <f t="shared" si="1"/>
        <v>0</v>
      </c>
      <c r="Q26" s="211"/>
      <c r="R26" s="211"/>
      <c r="S26" s="211"/>
      <c r="T26" s="139" t="s">
        <v>65</v>
      </c>
      <c r="U26" s="139"/>
      <c r="V26" s="225"/>
      <c r="W26" s="211"/>
      <c r="X26" s="211"/>
      <c r="Y26" s="226"/>
      <c r="Z26" s="226"/>
      <c r="AA26" s="226"/>
    </row>
    <row r="27" s="106" customFormat="1" ht="24" customHeight="1" spans="1:27">
      <c r="A27" s="212"/>
      <c r="B27" s="213"/>
      <c r="C27" s="214"/>
      <c r="D27" s="215"/>
      <c r="E27" s="216" t="str">
        <f>IF(D27="","",VLOOKUP(D27,'[4]Account Code'!$A$3:$D$272,2,0))</f>
        <v/>
      </c>
      <c r="F27" s="217"/>
      <c r="G27" s="228"/>
      <c r="H27" s="218"/>
      <c r="I27" s="219">
        <f>IFERROR(VLOOKUP(O27,[4]CREDITORS!A:B,2,0),"")</f>
        <v>0</v>
      </c>
      <c r="J27" s="220"/>
      <c r="K27" s="221"/>
      <c r="L27" s="230">
        <f t="shared" si="0"/>
        <v>34023.8100000002</v>
      </c>
      <c r="M27" s="231"/>
      <c r="N27" s="224"/>
      <c r="O27" s="192"/>
      <c r="P27" s="211">
        <f t="shared" si="1"/>
        <v>0</v>
      </c>
      <c r="Q27" s="211"/>
      <c r="R27" s="233"/>
      <c r="S27" s="211"/>
      <c r="T27" s="139" t="s">
        <v>65</v>
      </c>
      <c r="U27" s="139"/>
      <c r="V27" s="225"/>
      <c r="W27" s="211"/>
      <c r="X27" s="211"/>
      <c r="Y27" s="226"/>
      <c r="Z27" s="226"/>
      <c r="AA27" s="226"/>
    </row>
    <row r="28" s="106" customFormat="1" ht="24" customHeight="1" spans="1:27">
      <c r="A28" s="212"/>
      <c r="B28" s="213"/>
      <c r="C28" s="214"/>
      <c r="D28" s="215"/>
      <c r="E28" s="216" t="str">
        <f>IF(D28="","",VLOOKUP(D28,'[4]Account Code'!$A$3:$D$272,2,0))</f>
        <v/>
      </c>
      <c r="F28" s="217"/>
      <c r="G28" s="228"/>
      <c r="H28" s="218"/>
      <c r="I28" s="219">
        <f>IFERROR(VLOOKUP(O28,[4]CREDITORS!A:B,2,0),"")</f>
        <v>0</v>
      </c>
      <c r="J28" s="220"/>
      <c r="K28" s="221"/>
      <c r="L28" s="230">
        <f t="shared" si="0"/>
        <v>34023.8100000002</v>
      </c>
      <c r="M28" s="231"/>
      <c r="N28" s="224"/>
      <c r="O28" s="192"/>
      <c r="P28" s="211">
        <f t="shared" si="1"/>
        <v>0</v>
      </c>
      <c r="Q28" s="211"/>
      <c r="R28" s="233"/>
      <c r="S28" s="211"/>
      <c r="T28" s="139" t="s">
        <v>65</v>
      </c>
      <c r="U28" s="139"/>
      <c r="V28" s="225"/>
      <c r="W28" s="211"/>
      <c r="X28" s="211"/>
      <c r="Y28" s="226"/>
      <c r="Z28" s="226"/>
      <c r="AA28" s="226"/>
    </row>
    <row r="29" s="106" customFormat="1" ht="24" customHeight="1" spans="1:27">
      <c r="A29" s="212"/>
      <c r="B29" s="213"/>
      <c r="C29" s="214"/>
      <c r="D29" s="215"/>
      <c r="E29" s="216" t="str">
        <f>IF(D29="","",VLOOKUP(D29,'[4]Account Code'!$A$3:$D$272,2,0))</f>
        <v/>
      </c>
      <c r="F29" s="217"/>
      <c r="G29" s="228"/>
      <c r="H29" s="218"/>
      <c r="I29" s="219">
        <f>IFERROR(VLOOKUP(O29,[4]CREDITORS!A:B,2,0),"")</f>
        <v>0</v>
      </c>
      <c r="J29" s="220"/>
      <c r="K29" s="221"/>
      <c r="L29" s="230">
        <f t="shared" si="0"/>
        <v>34023.8100000002</v>
      </c>
      <c r="M29" s="231"/>
      <c r="N29" s="224"/>
      <c r="O29" s="192"/>
      <c r="P29" s="211">
        <f t="shared" si="1"/>
        <v>0</v>
      </c>
      <c r="Q29" s="211"/>
      <c r="R29" s="211"/>
      <c r="S29" s="211"/>
      <c r="T29" s="139" t="s">
        <v>65</v>
      </c>
      <c r="U29" s="139"/>
      <c r="V29" s="225"/>
      <c r="W29" s="211"/>
      <c r="X29" s="211"/>
      <c r="Y29" s="226"/>
      <c r="Z29" s="226"/>
      <c r="AA29" s="226"/>
    </row>
    <row r="30" s="106" customFormat="1" ht="24" customHeight="1" spans="1:27">
      <c r="A30" s="212"/>
      <c r="B30" s="213"/>
      <c r="C30" s="214"/>
      <c r="D30" s="215"/>
      <c r="E30" s="216" t="str">
        <f>IF(D30="","",VLOOKUP(D30,'[4]Account Code'!$A$3:$D$272,2,0))</f>
        <v/>
      </c>
      <c r="F30" s="217"/>
      <c r="G30" s="228"/>
      <c r="H30" s="218"/>
      <c r="I30" s="219">
        <f>IFERROR(VLOOKUP(O30,[4]CREDITORS!A:B,2,0),"")</f>
        <v>0</v>
      </c>
      <c r="J30" s="220"/>
      <c r="K30" s="221"/>
      <c r="L30" s="230">
        <f t="shared" si="0"/>
        <v>34023.8100000002</v>
      </c>
      <c r="M30" s="231"/>
      <c r="N30" s="224"/>
      <c r="O30" s="192"/>
      <c r="P30" s="211">
        <f t="shared" si="1"/>
        <v>0</v>
      </c>
      <c r="Q30" s="211"/>
      <c r="R30" s="211"/>
      <c r="S30" s="211"/>
      <c r="T30" s="139" t="s">
        <v>65</v>
      </c>
      <c r="U30" s="139"/>
      <c r="V30" s="225"/>
      <c r="W30" s="211"/>
      <c r="X30" s="211"/>
      <c r="Y30" s="226"/>
      <c r="Z30" s="226"/>
      <c r="AA30" s="226"/>
    </row>
    <row r="31" s="106" customFormat="1" ht="24" customHeight="1" spans="1:27">
      <c r="A31" s="212"/>
      <c r="B31" s="213"/>
      <c r="C31" s="214"/>
      <c r="D31" s="215"/>
      <c r="E31" s="216" t="str">
        <f>IF(D31="","",VLOOKUP(D31,'[4]Account Code'!$A$3:$D$272,2,0))</f>
        <v/>
      </c>
      <c r="F31" s="217"/>
      <c r="G31" s="228"/>
      <c r="H31" s="218"/>
      <c r="I31" s="219">
        <f>IFERROR(VLOOKUP(O31,[4]CREDITORS!A:B,2,0),"")</f>
        <v>0</v>
      </c>
      <c r="J31" s="220"/>
      <c r="K31" s="221"/>
      <c r="L31" s="230">
        <f t="shared" si="0"/>
        <v>34023.8100000002</v>
      </c>
      <c r="M31" s="231"/>
      <c r="N31" s="224"/>
      <c r="O31" s="192"/>
      <c r="P31" s="211">
        <f t="shared" si="1"/>
        <v>0</v>
      </c>
      <c r="Q31" s="211"/>
      <c r="R31" s="211"/>
      <c r="S31" s="211"/>
      <c r="T31" s="139" t="s">
        <v>65</v>
      </c>
      <c r="U31" s="139"/>
      <c r="V31" s="225"/>
      <c r="W31" s="211"/>
      <c r="X31" s="211"/>
      <c r="Y31" s="226"/>
      <c r="Z31" s="226"/>
      <c r="AA31" s="226"/>
    </row>
    <row r="32" s="106" customFormat="1" ht="24" customHeight="1" spans="1:27">
      <c r="A32" s="212"/>
      <c r="B32" s="213"/>
      <c r="C32" s="214"/>
      <c r="D32" s="215"/>
      <c r="E32" s="216" t="str">
        <f>IF(D32="","",VLOOKUP(D32,'[4]Account Code'!$A$3:$D$272,2,0))</f>
        <v/>
      </c>
      <c r="F32" s="217"/>
      <c r="G32" s="232"/>
      <c r="H32" s="218"/>
      <c r="I32" s="219">
        <f>IFERROR(VLOOKUP(O32,[4]CREDITORS!A:B,2,0),"")</f>
        <v>0</v>
      </c>
      <c r="J32" s="220"/>
      <c r="K32" s="221"/>
      <c r="L32" s="230">
        <f t="shared" si="0"/>
        <v>34023.8100000002</v>
      </c>
      <c r="M32" s="234"/>
      <c r="N32" s="224"/>
      <c r="O32" s="192"/>
      <c r="P32" s="211">
        <f t="shared" si="1"/>
        <v>0</v>
      </c>
      <c r="Q32" s="211"/>
      <c r="R32" s="211"/>
      <c r="S32" s="211"/>
      <c r="T32" s="139" t="s">
        <v>65</v>
      </c>
      <c r="U32" s="139"/>
      <c r="V32" s="225"/>
      <c r="W32" s="211"/>
      <c r="X32" s="211"/>
      <c r="Y32" s="226"/>
      <c r="Z32" s="226"/>
      <c r="AA32" s="226"/>
    </row>
    <row r="33" s="106" customFormat="1" ht="24" customHeight="1" spans="1:27">
      <c r="A33" s="212"/>
      <c r="B33" s="213"/>
      <c r="C33" s="214"/>
      <c r="D33" s="215"/>
      <c r="E33" s="216" t="str">
        <f>IF(D33="","",VLOOKUP(D33,'[4]Account Code'!$A$3:$D$272,2,0))</f>
        <v/>
      </c>
      <c r="F33" s="217"/>
      <c r="G33" s="232"/>
      <c r="H33" s="218"/>
      <c r="I33" s="219">
        <f>IFERROR(VLOOKUP(O33,[4]CREDITORS!A:B,2,0),"")</f>
        <v>0</v>
      </c>
      <c r="J33" s="220"/>
      <c r="K33" s="221"/>
      <c r="L33" s="230">
        <f t="shared" si="0"/>
        <v>34023.8100000002</v>
      </c>
      <c r="M33" s="231"/>
      <c r="N33" s="224"/>
      <c r="O33" s="192"/>
      <c r="P33" s="211">
        <f t="shared" si="1"/>
        <v>0</v>
      </c>
      <c r="Q33" s="211"/>
      <c r="R33" s="211"/>
      <c r="S33" s="211"/>
      <c r="T33" s="139" t="s">
        <v>65</v>
      </c>
      <c r="U33" s="139"/>
      <c r="V33" s="225"/>
      <c r="W33" s="211"/>
      <c r="X33" s="211"/>
      <c r="Y33" s="226"/>
      <c r="Z33" s="226"/>
      <c r="AA33" s="226"/>
    </row>
    <row r="34" s="106" customFormat="1" ht="24" customHeight="1" spans="1:27">
      <c r="A34" s="212"/>
      <c r="B34" s="213"/>
      <c r="C34" s="214"/>
      <c r="D34" s="215"/>
      <c r="E34" s="216" t="str">
        <f>IF(D34="","",VLOOKUP(D34,'[4]Account Code'!$A$3:$D$272,2,0))</f>
        <v/>
      </c>
      <c r="F34" s="217"/>
      <c r="G34" s="228"/>
      <c r="H34" s="218"/>
      <c r="I34" s="219">
        <f>IFERROR(VLOOKUP(O34,[4]CREDITORS!A:B,2,0),"")</f>
        <v>0</v>
      </c>
      <c r="J34" s="220"/>
      <c r="K34" s="221"/>
      <c r="L34" s="230">
        <f t="shared" si="0"/>
        <v>34023.8100000002</v>
      </c>
      <c r="M34" s="234"/>
      <c r="N34" s="224"/>
      <c r="O34" s="192"/>
      <c r="P34" s="211">
        <f t="shared" si="1"/>
        <v>0</v>
      </c>
      <c r="Q34" s="211"/>
      <c r="R34" s="211"/>
      <c r="S34" s="211"/>
      <c r="T34" s="139" t="s">
        <v>65</v>
      </c>
      <c r="U34" s="139"/>
      <c r="V34" s="225"/>
      <c r="W34" s="211"/>
      <c r="X34" s="211"/>
      <c r="Y34" s="226"/>
      <c r="Z34" s="226"/>
      <c r="AA34" s="226"/>
    </row>
    <row r="35" s="106" customFormat="1" ht="24" customHeight="1" spans="1:27">
      <c r="A35" s="212"/>
      <c r="B35" s="213"/>
      <c r="C35" s="214"/>
      <c r="D35" s="215"/>
      <c r="E35" s="216" t="str">
        <f>IF(D35="","",VLOOKUP(D35,'[4]Account Code'!$A$3:$D$272,2,0))</f>
        <v/>
      </c>
      <c r="F35" s="217"/>
      <c r="G35" s="228"/>
      <c r="H35" s="218"/>
      <c r="I35" s="219">
        <f>IFERROR(VLOOKUP(O35,[4]CREDITORS!A:B,2,0),"")</f>
        <v>0</v>
      </c>
      <c r="J35" s="220"/>
      <c r="K35" s="221"/>
      <c r="L35" s="230">
        <f t="shared" si="0"/>
        <v>34023.8100000002</v>
      </c>
      <c r="M35" s="231"/>
      <c r="N35" s="224"/>
      <c r="O35" s="192"/>
      <c r="P35" s="211">
        <f t="shared" si="1"/>
        <v>0</v>
      </c>
      <c r="Q35" s="211"/>
      <c r="R35" s="211"/>
      <c r="S35" s="211"/>
      <c r="T35" s="139" t="s">
        <v>65</v>
      </c>
      <c r="U35" s="139"/>
      <c r="V35" s="225"/>
      <c r="W35" s="211"/>
      <c r="X35" s="211"/>
      <c r="Y35" s="226"/>
      <c r="Z35" s="226"/>
      <c r="AA35" s="226"/>
    </row>
    <row r="36" s="106" customFormat="1" ht="24" customHeight="1" spans="1:27">
      <c r="A36" s="212"/>
      <c r="B36" s="213"/>
      <c r="C36" s="214"/>
      <c r="D36" s="215"/>
      <c r="E36" s="216" t="str">
        <f>IF(D36="","",VLOOKUP(D36,'[4]Account Code'!$A$3:$D$272,2,0))</f>
        <v/>
      </c>
      <c r="F36" s="217"/>
      <c r="G36" s="228"/>
      <c r="H36" s="218"/>
      <c r="I36" s="219">
        <f>IFERROR(VLOOKUP(O36,[4]CREDITORS!A:B,2,0),"")</f>
        <v>0</v>
      </c>
      <c r="J36" s="220"/>
      <c r="K36" s="221"/>
      <c r="L36" s="230">
        <f t="shared" si="0"/>
        <v>34023.8100000002</v>
      </c>
      <c r="M36" s="231"/>
      <c r="N36" s="224"/>
      <c r="O36" s="192"/>
      <c r="P36" s="211">
        <f t="shared" si="1"/>
        <v>0</v>
      </c>
      <c r="Q36" s="211"/>
      <c r="R36" s="211"/>
      <c r="S36" s="211"/>
      <c r="T36" s="139" t="s">
        <v>65</v>
      </c>
      <c r="U36" s="139"/>
      <c r="V36" s="225"/>
      <c r="W36" s="211"/>
      <c r="X36" s="211"/>
      <c r="Y36" s="226"/>
      <c r="Z36" s="226"/>
      <c r="AA36" s="226"/>
    </row>
    <row r="37" s="106" customFormat="1" ht="24" customHeight="1" spans="1:27">
      <c r="A37" s="212"/>
      <c r="B37" s="213"/>
      <c r="C37" s="214"/>
      <c r="D37" s="215"/>
      <c r="E37" s="216" t="str">
        <f>IF(D37="","",VLOOKUP(D37,'[4]Account Code'!$A$3:$D$272,2,0))</f>
        <v/>
      </c>
      <c r="F37" s="217"/>
      <c r="G37" s="228"/>
      <c r="H37" s="218"/>
      <c r="I37" s="219">
        <f>IFERROR(VLOOKUP(O37,[4]CREDITORS!A:B,2,0),"")</f>
        <v>0</v>
      </c>
      <c r="J37" s="220"/>
      <c r="K37" s="221"/>
      <c r="L37" s="230">
        <f t="shared" si="0"/>
        <v>34023.8100000002</v>
      </c>
      <c r="M37" s="231"/>
      <c r="N37" s="224"/>
      <c r="O37" s="192"/>
      <c r="P37" s="211">
        <f t="shared" si="1"/>
        <v>0</v>
      </c>
      <c r="Q37" s="211"/>
      <c r="R37" s="211"/>
      <c r="S37" s="211"/>
      <c r="T37" s="139" t="s">
        <v>65</v>
      </c>
      <c r="U37" s="139"/>
      <c r="V37" s="225"/>
      <c r="W37" s="211"/>
      <c r="X37" s="211"/>
      <c r="Y37" s="226"/>
      <c r="Z37" s="226"/>
      <c r="AA37" s="226"/>
    </row>
    <row r="38" s="106" customFormat="1" ht="24" customHeight="1" spans="1:27">
      <c r="A38" s="212"/>
      <c r="B38" s="213"/>
      <c r="C38" s="214"/>
      <c r="D38" s="215"/>
      <c r="E38" s="216" t="str">
        <f>IF(D38="","",VLOOKUP(D38,'[4]Account Code'!$A$3:$D$272,2,0))</f>
        <v/>
      </c>
      <c r="F38" s="217"/>
      <c r="G38" s="232"/>
      <c r="H38" s="218"/>
      <c r="I38" s="219">
        <f>IFERROR(VLOOKUP(O38,[4]CREDITORS!A:B,2,0),"")</f>
        <v>0</v>
      </c>
      <c r="J38" s="220"/>
      <c r="K38" s="221"/>
      <c r="L38" s="230">
        <f t="shared" si="0"/>
        <v>34023.8100000002</v>
      </c>
      <c r="M38" s="231"/>
      <c r="N38" s="224"/>
      <c r="O38" s="192"/>
      <c r="P38" s="211">
        <f t="shared" si="1"/>
        <v>0</v>
      </c>
      <c r="Q38" s="211"/>
      <c r="R38" s="211"/>
      <c r="S38" s="211"/>
      <c r="T38" s="139" t="s">
        <v>65</v>
      </c>
      <c r="U38" s="139"/>
      <c r="V38" s="225"/>
      <c r="W38" s="211"/>
      <c r="X38" s="211"/>
      <c r="Y38" s="226"/>
      <c r="Z38" s="226"/>
      <c r="AA38" s="226"/>
    </row>
    <row r="39" s="106" customFormat="1" ht="24" customHeight="1" spans="1:27">
      <c r="A39" s="212"/>
      <c r="B39" s="213"/>
      <c r="C39" s="214"/>
      <c r="D39" s="215"/>
      <c r="E39" s="216" t="str">
        <f>IF(D39="","",VLOOKUP(D39,'[4]Account Code'!$A$3:$D$272,2,0))</f>
        <v/>
      </c>
      <c r="F39" s="217"/>
      <c r="G39" s="228"/>
      <c r="H39" s="218"/>
      <c r="I39" s="219">
        <f>IFERROR(VLOOKUP(O39,[4]CREDITORS!A:B,2,0),"")</f>
        <v>0</v>
      </c>
      <c r="J39" s="220"/>
      <c r="K39" s="221"/>
      <c r="L39" s="230">
        <f t="shared" si="0"/>
        <v>34023.8100000002</v>
      </c>
      <c r="M39" s="235"/>
      <c r="N39" s="224"/>
      <c r="O39" s="192"/>
      <c r="P39" s="211">
        <f t="shared" si="1"/>
        <v>0</v>
      </c>
      <c r="Q39" s="211"/>
      <c r="R39" s="211"/>
      <c r="S39" s="211"/>
      <c r="T39" s="139" t="s">
        <v>65</v>
      </c>
      <c r="U39" s="139"/>
      <c r="V39" s="225"/>
      <c r="W39" s="211"/>
      <c r="X39" s="211"/>
      <c r="Y39" s="226"/>
      <c r="Z39" s="226"/>
      <c r="AA39" s="226"/>
    </row>
    <row r="40" s="106" customFormat="1" ht="24" customHeight="1" spans="1:27">
      <c r="A40" s="212"/>
      <c r="B40" s="213"/>
      <c r="C40" s="214"/>
      <c r="D40" s="215"/>
      <c r="E40" s="216" t="str">
        <f>IF(D40="","",VLOOKUP(D40,'[4]Account Code'!$A$3:$D$272,2,0))</f>
        <v/>
      </c>
      <c r="F40" s="217"/>
      <c r="G40" s="228"/>
      <c r="H40" s="218"/>
      <c r="I40" s="219">
        <f>IFERROR(VLOOKUP(O40,[4]CREDITORS!A:B,2,0),"")</f>
        <v>0</v>
      </c>
      <c r="J40" s="220"/>
      <c r="K40" s="221"/>
      <c r="L40" s="230">
        <f t="shared" si="0"/>
        <v>34023.8100000002</v>
      </c>
      <c r="M40" s="231"/>
      <c r="N40" s="224"/>
      <c r="O40" s="192"/>
      <c r="P40" s="211">
        <f t="shared" si="1"/>
        <v>0</v>
      </c>
      <c r="Q40" s="211"/>
      <c r="R40" s="211"/>
      <c r="S40" s="211"/>
      <c r="T40" s="139" t="s">
        <v>65</v>
      </c>
      <c r="U40" s="139"/>
      <c r="V40" s="225"/>
      <c r="W40" s="211"/>
      <c r="X40" s="211"/>
      <c r="Y40" s="226"/>
      <c r="Z40" s="226"/>
      <c r="AA40" s="226"/>
    </row>
    <row r="41" s="106" customFormat="1" ht="24" customHeight="1" spans="1:27">
      <c r="A41" s="212"/>
      <c r="B41" s="213"/>
      <c r="C41" s="214"/>
      <c r="D41" s="215"/>
      <c r="E41" s="216" t="str">
        <f>IF(D41="","",VLOOKUP(D41,'[4]Account Code'!$A$3:$D$272,2,0))</f>
        <v/>
      </c>
      <c r="F41" s="217"/>
      <c r="G41" s="228"/>
      <c r="H41" s="218"/>
      <c r="I41" s="219">
        <f>IFERROR(VLOOKUP(O41,[4]CREDITORS!A:B,2,0),"")</f>
        <v>0</v>
      </c>
      <c r="J41" s="220"/>
      <c r="K41" s="221"/>
      <c r="L41" s="230">
        <f t="shared" si="0"/>
        <v>34023.8100000002</v>
      </c>
      <c r="M41" s="231"/>
      <c r="N41" s="224"/>
      <c r="O41" s="192"/>
      <c r="P41" s="211">
        <f t="shared" si="1"/>
        <v>0</v>
      </c>
      <c r="Q41" s="211"/>
      <c r="R41" s="211"/>
      <c r="S41" s="211"/>
      <c r="T41" s="139" t="s">
        <v>65</v>
      </c>
      <c r="U41" s="139"/>
      <c r="V41" s="225"/>
      <c r="W41" s="211"/>
      <c r="X41" s="211"/>
      <c r="Y41" s="226"/>
      <c r="Z41" s="226"/>
      <c r="AA41" s="226"/>
    </row>
    <row r="42" s="106" customFormat="1" ht="24" customHeight="1" spans="1:27">
      <c r="A42" s="212"/>
      <c r="B42" s="213"/>
      <c r="C42" s="214"/>
      <c r="D42" s="215"/>
      <c r="E42" s="216" t="str">
        <f>IF(D42="","",VLOOKUP(D42,'[4]Account Code'!$A$3:$D$272,2,0))</f>
        <v/>
      </c>
      <c r="F42" s="217"/>
      <c r="G42" s="228"/>
      <c r="H42" s="218"/>
      <c r="I42" s="219">
        <f>IFERROR(VLOOKUP(O42,[4]CREDITORS!A:B,2,0),"")</f>
        <v>0</v>
      </c>
      <c r="J42" s="220"/>
      <c r="K42" s="221"/>
      <c r="L42" s="230">
        <f t="shared" si="0"/>
        <v>34023.8100000002</v>
      </c>
      <c r="M42" s="231"/>
      <c r="N42" s="224"/>
      <c r="O42" s="192"/>
      <c r="P42" s="211">
        <f t="shared" si="1"/>
        <v>0</v>
      </c>
      <c r="Q42" s="211"/>
      <c r="R42" s="211"/>
      <c r="S42" s="211"/>
      <c r="T42" s="139" t="s">
        <v>65</v>
      </c>
      <c r="U42" s="139"/>
      <c r="V42" s="225"/>
      <c r="W42" s="211"/>
      <c r="X42" s="211"/>
      <c r="Y42" s="226"/>
      <c r="Z42" s="226"/>
      <c r="AA42" s="226"/>
    </row>
    <row r="43" s="106" customFormat="1" ht="24" customHeight="1" spans="1:27">
      <c r="A43" s="212"/>
      <c r="B43" s="213"/>
      <c r="C43" s="214"/>
      <c r="D43" s="215"/>
      <c r="E43" s="216" t="str">
        <f>IF(D43="","",VLOOKUP(D43,'[4]Account Code'!$A$3:$D$272,2,0))</f>
        <v/>
      </c>
      <c r="F43" s="217"/>
      <c r="G43" s="228"/>
      <c r="H43" s="218"/>
      <c r="I43" s="219">
        <f>IFERROR(VLOOKUP(O43,[4]CREDITORS!A:B,2,0),"")</f>
        <v>0</v>
      </c>
      <c r="J43" s="220"/>
      <c r="K43" s="221"/>
      <c r="L43" s="230">
        <f t="shared" si="0"/>
        <v>34023.8100000002</v>
      </c>
      <c r="M43" s="231"/>
      <c r="N43" s="224"/>
      <c r="O43" s="192"/>
      <c r="P43" s="211">
        <f t="shared" si="1"/>
        <v>0</v>
      </c>
      <c r="Q43" s="211"/>
      <c r="R43" s="211"/>
      <c r="S43" s="211"/>
      <c r="T43" s="139" t="s">
        <v>65</v>
      </c>
      <c r="U43" s="139"/>
      <c r="V43" s="225"/>
      <c r="W43" s="211"/>
      <c r="X43" s="211"/>
      <c r="Y43" s="226"/>
      <c r="Z43" s="226"/>
      <c r="AA43" s="226"/>
    </row>
    <row r="44" s="106" customFormat="1" ht="24" customHeight="1" spans="1:27">
      <c r="A44" s="212"/>
      <c r="B44" s="213"/>
      <c r="C44" s="214"/>
      <c r="D44" s="215"/>
      <c r="E44" s="216" t="str">
        <f>IF(D44="","",VLOOKUP(D44,'[4]Account Code'!$A$3:$D$272,2,0))</f>
        <v/>
      </c>
      <c r="F44" s="217"/>
      <c r="G44" s="228"/>
      <c r="H44" s="218"/>
      <c r="I44" s="219">
        <f>IFERROR(VLOOKUP(O44,[4]CREDITORS!A:B,2,0),"")</f>
        <v>0</v>
      </c>
      <c r="J44" s="220"/>
      <c r="K44" s="221"/>
      <c r="L44" s="230">
        <f t="shared" si="0"/>
        <v>34023.8100000002</v>
      </c>
      <c r="M44" s="231"/>
      <c r="N44" s="224"/>
      <c r="O44" s="192"/>
      <c r="P44" s="211">
        <f t="shared" si="1"/>
        <v>0</v>
      </c>
      <c r="Q44" s="211"/>
      <c r="R44" s="233"/>
      <c r="S44" s="211"/>
      <c r="T44" s="139" t="s">
        <v>65</v>
      </c>
      <c r="U44" s="139"/>
      <c r="V44" s="225"/>
      <c r="W44" s="211"/>
      <c r="X44" s="211"/>
      <c r="Y44" s="226"/>
      <c r="Z44" s="226"/>
      <c r="AA44" s="226"/>
    </row>
    <row r="45" s="106" customFormat="1" ht="24" customHeight="1" spans="1:27">
      <c r="A45" s="212"/>
      <c r="B45" s="213"/>
      <c r="C45" s="214"/>
      <c r="D45" s="215"/>
      <c r="E45" s="216" t="str">
        <f>IF(D45="","",VLOOKUP(D45,'[4]Account Code'!$A$3:$D$272,2,0))</f>
        <v/>
      </c>
      <c r="F45" s="217"/>
      <c r="G45" s="228"/>
      <c r="H45" s="218"/>
      <c r="I45" s="219">
        <f>IFERROR(VLOOKUP(O45,[4]CREDITORS!A:B,2,0),"")</f>
        <v>0</v>
      </c>
      <c r="J45" s="220"/>
      <c r="K45" s="221"/>
      <c r="L45" s="230">
        <f t="shared" si="0"/>
        <v>34023.8100000002</v>
      </c>
      <c r="M45" s="231"/>
      <c r="N45" s="224"/>
      <c r="O45" s="192"/>
      <c r="P45" s="211">
        <f t="shared" si="1"/>
        <v>0</v>
      </c>
      <c r="Q45" s="211"/>
      <c r="R45" s="233"/>
      <c r="S45" s="211"/>
      <c r="T45" s="139" t="s">
        <v>65</v>
      </c>
      <c r="U45" s="139"/>
      <c r="V45" s="225"/>
      <c r="W45" s="211"/>
      <c r="X45" s="211"/>
      <c r="Y45" s="226"/>
      <c r="Z45" s="226"/>
      <c r="AA45" s="226"/>
    </row>
    <row r="46" s="106" customFormat="1" ht="24" customHeight="1" spans="1:27">
      <c r="A46" s="212"/>
      <c r="B46" s="213"/>
      <c r="C46" s="214"/>
      <c r="D46" s="215"/>
      <c r="E46" s="216" t="str">
        <f>IF(D46="","",VLOOKUP(D46,'[4]Account Code'!$A$3:$D$272,2,0))</f>
        <v/>
      </c>
      <c r="F46" s="217"/>
      <c r="G46" s="228"/>
      <c r="H46" s="218"/>
      <c r="I46" s="219">
        <f>IFERROR(VLOOKUP(O46,[4]CREDITORS!A:B,2,0),"")</f>
        <v>0</v>
      </c>
      <c r="J46" s="220"/>
      <c r="K46" s="221"/>
      <c r="L46" s="230">
        <f t="shared" si="0"/>
        <v>34023.8100000002</v>
      </c>
      <c r="M46" s="231"/>
      <c r="N46" s="224"/>
      <c r="O46" s="192"/>
      <c r="P46" s="211">
        <f t="shared" si="1"/>
        <v>0</v>
      </c>
      <c r="Q46" s="211"/>
      <c r="R46" s="211"/>
      <c r="S46" s="211"/>
      <c r="T46" s="139" t="s">
        <v>65</v>
      </c>
      <c r="U46" s="139"/>
      <c r="V46" s="225"/>
      <c r="W46" s="211"/>
      <c r="X46" s="211"/>
      <c r="Y46" s="226"/>
      <c r="Z46" s="226"/>
      <c r="AA46" s="226"/>
    </row>
    <row r="47" s="106" customFormat="1" ht="24" customHeight="1" spans="1:27">
      <c r="A47" s="212"/>
      <c r="B47" s="213"/>
      <c r="C47" s="214"/>
      <c r="D47" s="215"/>
      <c r="E47" s="216" t="str">
        <f>IF(D47="","",VLOOKUP(D47,'[4]Account Code'!$A$3:$D$272,2,0))</f>
        <v/>
      </c>
      <c r="F47" s="217"/>
      <c r="G47" s="228"/>
      <c r="H47" s="218"/>
      <c r="I47" s="219">
        <f>IFERROR(VLOOKUP(O47,[4]CREDITORS!A:B,2,0),"")</f>
        <v>0</v>
      </c>
      <c r="J47" s="220"/>
      <c r="K47" s="221"/>
      <c r="L47" s="230">
        <f t="shared" si="0"/>
        <v>34023.8100000002</v>
      </c>
      <c r="M47" s="231"/>
      <c r="N47" s="224"/>
      <c r="O47" s="192"/>
      <c r="P47" s="211">
        <f t="shared" si="1"/>
        <v>0</v>
      </c>
      <c r="Q47" s="211"/>
      <c r="R47" s="211"/>
      <c r="S47" s="211"/>
      <c r="T47" s="139" t="s">
        <v>65</v>
      </c>
      <c r="U47" s="139"/>
      <c r="V47" s="225"/>
      <c r="W47" s="211"/>
      <c r="X47" s="211"/>
      <c r="Y47" s="226"/>
      <c r="Z47" s="226"/>
      <c r="AA47" s="226"/>
    </row>
    <row r="48" s="106" customFormat="1" ht="24" customHeight="1" spans="1:27">
      <c r="A48" s="212"/>
      <c r="B48" s="213"/>
      <c r="C48" s="214"/>
      <c r="D48" s="215"/>
      <c r="E48" s="216" t="str">
        <f>IF(D48="","",VLOOKUP(D48,'[4]Account Code'!$A$3:$D$272,2,0))</f>
        <v/>
      </c>
      <c r="F48" s="217"/>
      <c r="G48" s="228"/>
      <c r="H48" s="218"/>
      <c r="I48" s="219">
        <f>IFERROR(VLOOKUP(O48,[4]CREDITORS!A:B,2,0),"")</f>
        <v>0</v>
      </c>
      <c r="J48" s="220"/>
      <c r="K48" s="221"/>
      <c r="L48" s="230">
        <f t="shared" si="0"/>
        <v>34023.8100000002</v>
      </c>
      <c r="M48" s="231"/>
      <c r="N48" s="224"/>
      <c r="O48" s="192"/>
      <c r="P48" s="211">
        <f t="shared" si="1"/>
        <v>0</v>
      </c>
      <c r="Q48" s="211"/>
      <c r="R48" s="211"/>
      <c r="S48" s="211"/>
      <c r="T48" s="139" t="s">
        <v>65</v>
      </c>
      <c r="U48" s="139"/>
      <c r="V48" s="225"/>
      <c r="W48" s="211"/>
      <c r="X48" s="211"/>
      <c r="Y48" s="226"/>
      <c r="Z48" s="226"/>
      <c r="AA48" s="226"/>
    </row>
    <row r="49" s="106" customFormat="1" ht="24" customHeight="1" spans="1:27">
      <c r="A49" s="212"/>
      <c r="B49" s="213"/>
      <c r="C49" s="214"/>
      <c r="D49" s="215"/>
      <c r="E49" s="216" t="str">
        <f>IF(D49="","",VLOOKUP(D49,'[4]Account Code'!$A$3:$D$272,2,0))</f>
        <v/>
      </c>
      <c r="F49" s="217"/>
      <c r="G49" s="228"/>
      <c r="H49" s="218"/>
      <c r="I49" s="219">
        <f>IFERROR(VLOOKUP(O49,[4]CREDITORS!A:B,2,0),"")</f>
        <v>0</v>
      </c>
      <c r="J49" s="220"/>
      <c r="K49" s="221"/>
      <c r="L49" s="230">
        <f t="shared" si="0"/>
        <v>34023.8100000002</v>
      </c>
      <c r="M49" s="231"/>
      <c r="N49" s="224"/>
      <c r="O49" s="192"/>
      <c r="P49" s="211">
        <f t="shared" si="1"/>
        <v>0</v>
      </c>
      <c r="Q49" s="211"/>
      <c r="R49" s="211"/>
      <c r="S49" s="211"/>
      <c r="T49" s="139" t="s">
        <v>65</v>
      </c>
      <c r="U49" s="139"/>
      <c r="V49" s="225"/>
      <c r="W49" s="211"/>
      <c r="X49" s="211"/>
      <c r="Y49" s="226"/>
      <c r="Z49" s="226"/>
      <c r="AA49" s="226"/>
    </row>
    <row r="50" s="106" customFormat="1" ht="24" customHeight="1" spans="1:27">
      <c r="A50" s="212"/>
      <c r="B50" s="213"/>
      <c r="C50" s="214"/>
      <c r="D50" s="215"/>
      <c r="E50" s="216" t="str">
        <f>IF(D50="","",VLOOKUP(D50,'[4]Account Code'!$A$3:$D$272,2,0))</f>
        <v/>
      </c>
      <c r="F50" s="217"/>
      <c r="G50" s="228"/>
      <c r="H50" s="218"/>
      <c r="I50" s="219">
        <f>IFERROR(VLOOKUP(O50,[4]CREDITORS!A:B,2,0),"")</f>
        <v>0</v>
      </c>
      <c r="J50" s="220"/>
      <c r="K50" s="221"/>
      <c r="L50" s="230">
        <f t="shared" si="0"/>
        <v>34023.8100000002</v>
      </c>
      <c r="M50" s="231"/>
      <c r="N50" s="224"/>
      <c r="O50" s="192"/>
      <c r="P50" s="211">
        <f t="shared" si="1"/>
        <v>0</v>
      </c>
      <c r="Q50" s="211"/>
      <c r="R50" s="211"/>
      <c r="S50" s="211"/>
      <c r="T50" s="139" t="s">
        <v>65</v>
      </c>
      <c r="U50" s="139"/>
      <c r="V50" s="225"/>
      <c r="W50" s="211"/>
      <c r="X50" s="211"/>
      <c r="Y50" s="226"/>
      <c r="Z50" s="226"/>
      <c r="AA50" s="226"/>
    </row>
    <row r="51" s="106" customFormat="1" ht="24" customHeight="1" spans="1:27">
      <c r="A51" s="212"/>
      <c r="B51" s="213"/>
      <c r="C51" s="214"/>
      <c r="D51" s="215"/>
      <c r="E51" s="216" t="str">
        <f>IF(D51="","",VLOOKUP(D51,'[4]Account Code'!$A$3:$D$272,2,0))</f>
        <v/>
      </c>
      <c r="F51" s="217"/>
      <c r="G51" s="228"/>
      <c r="H51" s="218"/>
      <c r="I51" s="219">
        <f>IFERROR(VLOOKUP(O51,[4]CREDITORS!A:B,2,0),"")</f>
        <v>0</v>
      </c>
      <c r="J51" s="220"/>
      <c r="K51" s="221"/>
      <c r="L51" s="230">
        <f t="shared" si="0"/>
        <v>34023.8100000002</v>
      </c>
      <c r="M51" s="231"/>
      <c r="N51" s="224"/>
      <c r="O51" s="192"/>
      <c r="P51" s="211">
        <f t="shared" si="1"/>
        <v>0</v>
      </c>
      <c r="Q51" s="211"/>
      <c r="R51" s="211"/>
      <c r="S51" s="211"/>
      <c r="T51" s="139" t="s">
        <v>65</v>
      </c>
      <c r="U51" s="139"/>
      <c r="V51" s="225"/>
      <c r="W51" s="211"/>
      <c r="X51" s="211"/>
      <c r="Y51" s="226"/>
      <c r="Z51" s="226"/>
      <c r="AA51" s="226"/>
    </row>
    <row r="52" s="106" customFormat="1" ht="24" customHeight="1" spans="1:27">
      <c r="A52" s="212"/>
      <c r="B52" s="213"/>
      <c r="C52" s="214"/>
      <c r="D52" s="215"/>
      <c r="E52" s="216" t="str">
        <f>IF(D52="","",VLOOKUP(D52,'[4]Account Code'!$A$3:$D$272,2,0))</f>
        <v/>
      </c>
      <c r="F52" s="217"/>
      <c r="G52" s="232"/>
      <c r="H52" s="218"/>
      <c r="I52" s="219">
        <f>IFERROR(VLOOKUP(O52,[4]CREDITORS!A:B,2,0),"")</f>
        <v>0</v>
      </c>
      <c r="J52" s="220"/>
      <c r="K52" s="221"/>
      <c r="L52" s="230">
        <f t="shared" si="0"/>
        <v>34023.8100000002</v>
      </c>
      <c r="M52" s="231"/>
      <c r="N52" s="224"/>
      <c r="O52" s="192"/>
      <c r="P52" s="211">
        <f t="shared" si="1"/>
        <v>0</v>
      </c>
      <c r="Q52" s="211"/>
      <c r="R52" s="211"/>
      <c r="S52" s="211"/>
      <c r="T52" s="139" t="s">
        <v>65</v>
      </c>
      <c r="U52" s="139"/>
      <c r="V52" s="225"/>
      <c r="W52" s="211"/>
      <c r="X52" s="211"/>
      <c r="Y52" s="226"/>
      <c r="Z52" s="226"/>
      <c r="AA52" s="226"/>
    </row>
    <row r="53" s="106" customFormat="1" ht="24" customHeight="1" spans="1:27">
      <c r="A53" s="212"/>
      <c r="B53" s="213"/>
      <c r="C53" s="214"/>
      <c r="D53" s="215"/>
      <c r="E53" s="216" t="str">
        <f>IF(D53="","",VLOOKUP(D53,'[4]Account Code'!$A$3:$D$272,2,0))</f>
        <v/>
      </c>
      <c r="F53" s="217"/>
      <c r="G53" s="232"/>
      <c r="H53" s="218"/>
      <c r="I53" s="219">
        <f>IFERROR(VLOOKUP(O53,[4]CREDITORS!A:B,2,0),"")</f>
        <v>0</v>
      </c>
      <c r="J53" s="220"/>
      <c r="K53" s="221"/>
      <c r="L53" s="230">
        <f t="shared" si="0"/>
        <v>34023.8100000002</v>
      </c>
      <c r="M53" s="231"/>
      <c r="N53" s="224"/>
      <c r="O53" s="192"/>
      <c r="P53" s="211">
        <f t="shared" si="1"/>
        <v>0</v>
      </c>
      <c r="Q53" s="211"/>
      <c r="R53" s="211"/>
      <c r="S53" s="211"/>
      <c r="T53" s="139" t="s">
        <v>65</v>
      </c>
      <c r="U53" s="139"/>
      <c r="V53" s="225"/>
      <c r="W53" s="211"/>
      <c r="X53" s="211"/>
      <c r="Y53" s="226"/>
      <c r="Z53" s="226"/>
      <c r="AA53" s="226"/>
    </row>
    <row r="54" s="106" customFormat="1" ht="24" customHeight="1" spans="1:27">
      <c r="A54" s="212"/>
      <c r="B54" s="213"/>
      <c r="C54" s="214"/>
      <c r="D54" s="215"/>
      <c r="E54" s="216" t="str">
        <f>IF(D54="","",VLOOKUP(D54,'[4]Account Code'!$A$3:$D$272,2,0))</f>
        <v/>
      </c>
      <c r="F54" s="217"/>
      <c r="G54" s="228"/>
      <c r="H54" s="218"/>
      <c r="I54" s="219">
        <f>IFERROR(VLOOKUP(O54,[4]CREDITORS!A:B,2,0),"")</f>
        <v>0</v>
      </c>
      <c r="J54" s="220"/>
      <c r="K54" s="221"/>
      <c r="L54" s="230" t="e">
        <f>+L53+#REF!-K54</f>
        <v>#REF!</v>
      </c>
      <c r="M54" s="231"/>
      <c r="N54" s="224"/>
      <c r="O54" s="192"/>
      <c r="P54" s="211">
        <f t="shared" si="1"/>
        <v>0</v>
      </c>
      <c r="Q54" s="211"/>
      <c r="R54" s="211"/>
      <c r="S54" s="211"/>
      <c r="T54" s="139" t="s">
        <v>65</v>
      </c>
      <c r="U54" s="139"/>
      <c r="V54" s="225"/>
      <c r="W54" s="211"/>
      <c r="X54" s="211"/>
      <c r="Y54" s="226"/>
      <c r="Z54" s="226"/>
      <c r="AA54" s="226"/>
    </row>
    <row r="55" s="106" customFormat="1" ht="24" customHeight="1" spans="1:27">
      <c r="A55" s="212"/>
      <c r="B55" s="213"/>
      <c r="C55" s="214"/>
      <c r="D55" s="215"/>
      <c r="E55" s="216" t="str">
        <f>IF(D55="","",VLOOKUP(D55,'[4]Account Code'!$A$3:$D$272,2,0))</f>
        <v/>
      </c>
      <c r="F55" s="217"/>
      <c r="G55" s="228"/>
      <c r="H55" s="218"/>
      <c r="I55" s="219">
        <f>IFERROR(VLOOKUP(O55,[4]CREDITORS!A:B,2,0),"")</f>
        <v>0</v>
      </c>
      <c r="J55" s="226"/>
      <c r="K55" s="221"/>
      <c r="L55" s="230" t="e">
        <f>+L54+J54-K55</f>
        <v>#REF!</v>
      </c>
      <c r="M55" s="231"/>
      <c r="N55" s="224"/>
      <c r="O55" s="192"/>
      <c r="P55" s="211">
        <f t="shared" si="1"/>
        <v>0</v>
      </c>
      <c r="Q55" s="211"/>
      <c r="R55" s="211"/>
      <c r="S55" s="211"/>
      <c r="T55" s="139" t="s">
        <v>65</v>
      </c>
      <c r="U55" s="139"/>
      <c r="V55" s="225"/>
      <c r="W55" s="211"/>
      <c r="X55" s="211"/>
      <c r="Y55" s="226"/>
      <c r="Z55" s="226"/>
      <c r="AA55" s="226"/>
    </row>
    <row r="56" s="106" customFormat="1" ht="24" customHeight="1" spans="1:27">
      <c r="A56" s="212"/>
      <c r="B56" s="213"/>
      <c r="C56" s="214"/>
      <c r="D56" s="215"/>
      <c r="E56" s="216" t="str">
        <f>IF(D56="","",VLOOKUP(D56,'[4]Account Code'!$A$3:$D$272,2,0))</f>
        <v/>
      </c>
      <c r="F56" s="217"/>
      <c r="G56" s="228"/>
      <c r="H56" s="218"/>
      <c r="I56" s="219">
        <f>IFERROR(VLOOKUP(O56,[4]CREDITORS!A:B,2,0),"")</f>
        <v>0</v>
      </c>
      <c r="J56" s="220"/>
      <c r="K56" s="221"/>
      <c r="L56" s="230" t="e">
        <f t="shared" si="0"/>
        <v>#REF!</v>
      </c>
      <c r="M56" s="231"/>
      <c r="N56" s="224"/>
      <c r="O56" s="192"/>
      <c r="P56" s="211">
        <f t="shared" si="1"/>
        <v>0</v>
      </c>
      <c r="Q56" s="211"/>
      <c r="R56" s="211"/>
      <c r="S56" s="139"/>
      <c r="T56" s="139"/>
      <c r="U56" s="139"/>
      <c r="V56" s="236"/>
      <c r="W56" s="211"/>
      <c r="X56" s="211"/>
      <c r="Y56" s="226"/>
      <c r="Z56" s="226"/>
      <c r="AA56" s="226"/>
    </row>
    <row r="57" s="106" customFormat="1" ht="24" customHeight="1" spans="1:27">
      <c r="A57" s="212"/>
      <c r="B57" s="213"/>
      <c r="C57" s="214"/>
      <c r="D57" s="215"/>
      <c r="E57" s="216" t="str">
        <f>IF(D57="","",VLOOKUP(D57,'[4]Account Code'!$A$3:$D$272,2,0))</f>
        <v/>
      </c>
      <c r="F57" s="217"/>
      <c r="G57" s="228"/>
      <c r="H57" s="218"/>
      <c r="I57" s="219">
        <f>IFERROR(VLOOKUP(O57,[4]CREDITORS!A:B,2,0),"")</f>
        <v>0</v>
      </c>
      <c r="J57" s="220"/>
      <c r="K57" s="221"/>
      <c r="L57" s="230" t="e">
        <f t="shared" si="0"/>
        <v>#REF!</v>
      </c>
      <c r="M57" s="231"/>
      <c r="N57" s="224"/>
      <c r="O57" s="192"/>
      <c r="P57" s="211">
        <f t="shared" si="1"/>
        <v>0</v>
      </c>
      <c r="Q57" s="211"/>
      <c r="R57" s="211"/>
      <c r="S57" s="139"/>
      <c r="T57" s="237"/>
      <c r="U57" s="139"/>
      <c r="V57" s="139"/>
      <c r="W57" s="211"/>
      <c r="X57" s="211"/>
      <c r="Y57" s="226"/>
      <c r="Z57" s="226"/>
      <c r="AA57" s="226"/>
    </row>
    <row r="58" s="106" customFormat="1" ht="24" customHeight="1" spans="1:27">
      <c r="A58" s="212"/>
      <c r="B58" s="213"/>
      <c r="C58" s="214"/>
      <c r="D58" s="215"/>
      <c r="E58" s="216" t="str">
        <f>IF(D58="","",VLOOKUP(D58,'[4]Account Code'!$A$3:$D$272,2,0))</f>
        <v/>
      </c>
      <c r="F58" s="217"/>
      <c r="G58" s="228"/>
      <c r="H58" s="218"/>
      <c r="I58" s="219">
        <f>IFERROR(VLOOKUP(O58,[4]CREDITORS!A:B,2,0),"")</f>
        <v>0</v>
      </c>
      <c r="J58" s="220"/>
      <c r="K58" s="221"/>
      <c r="L58" s="230" t="e">
        <f t="shared" si="0"/>
        <v>#REF!</v>
      </c>
      <c r="M58" s="231"/>
      <c r="N58" s="224"/>
      <c r="O58" s="192"/>
      <c r="P58" s="211">
        <f t="shared" si="1"/>
        <v>0</v>
      </c>
      <c r="Q58" s="211"/>
      <c r="R58" s="211"/>
      <c r="S58" s="139"/>
      <c r="T58" s="139"/>
      <c r="U58" s="139"/>
      <c r="V58" s="139"/>
      <c r="W58" s="211"/>
      <c r="X58" s="211"/>
      <c r="Y58" s="226"/>
      <c r="Z58" s="226"/>
      <c r="AA58" s="226"/>
    </row>
    <row r="59" s="106" customFormat="1" ht="24" customHeight="1" spans="1:27">
      <c r="A59" s="212"/>
      <c r="B59" s="213"/>
      <c r="C59" s="214"/>
      <c r="D59" s="215"/>
      <c r="E59" s="216" t="str">
        <f>IF(D59="","",VLOOKUP(D59,'[4]Account Code'!$A$3:$D$272,2,0))</f>
        <v/>
      </c>
      <c r="F59" s="217"/>
      <c r="G59" s="228"/>
      <c r="H59" s="218"/>
      <c r="I59" s="219">
        <f>IFERROR(VLOOKUP(O59,[4]CREDITORS!A:B,2,0),"")</f>
        <v>0</v>
      </c>
      <c r="J59" s="220"/>
      <c r="K59" s="221"/>
      <c r="L59" s="230" t="e">
        <f t="shared" si="0"/>
        <v>#REF!</v>
      </c>
      <c r="M59" s="238"/>
      <c r="N59" s="224"/>
      <c r="O59" s="192"/>
      <c r="P59" s="211">
        <f t="shared" si="1"/>
        <v>0</v>
      </c>
      <c r="Q59" s="211"/>
      <c r="R59" s="211"/>
      <c r="S59" s="139"/>
      <c r="T59" s="139"/>
      <c r="U59" s="139"/>
      <c r="V59" s="139"/>
      <c r="W59" s="211"/>
      <c r="X59" s="211"/>
      <c r="Y59" s="226"/>
      <c r="Z59" s="226"/>
      <c r="AA59" s="226"/>
    </row>
    <row r="60" s="106" customFormat="1" ht="24" customHeight="1" spans="1:27">
      <c r="A60" s="212"/>
      <c r="B60" s="213"/>
      <c r="C60" s="214"/>
      <c r="D60" s="215"/>
      <c r="E60" s="216" t="str">
        <f>IF(D60="","",VLOOKUP(D60,'[4]Account Code'!$A$3:$D$272,2,0))</f>
        <v/>
      </c>
      <c r="F60" s="217"/>
      <c r="G60" s="228"/>
      <c r="H60" s="218"/>
      <c r="I60" s="219">
        <f>IFERROR(VLOOKUP(O60,[4]CREDITORS!A:B,2,0),"")</f>
        <v>0</v>
      </c>
      <c r="J60" s="220"/>
      <c r="K60" s="221"/>
      <c r="L60" s="230" t="e">
        <f t="shared" si="0"/>
        <v>#REF!</v>
      </c>
      <c r="M60" s="238"/>
      <c r="N60" s="224"/>
      <c r="O60" s="192"/>
      <c r="P60" s="211">
        <f t="shared" si="1"/>
        <v>0</v>
      </c>
      <c r="Q60" s="211"/>
      <c r="R60" s="211"/>
      <c r="S60" s="139"/>
      <c r="T60" s="139"/>
      <c r="U60" s="139"/>
      <c r="V60" s="236"/>
      <c r="W60" s="211"/>
      <c r="X60" s="211"/>
      <c r="Y60" s="226"/>
      <c r="Z60" s="226"/>
      <c r="AA60" s="226"/>
    </row>
    <row r="61" s="106" customFormat="1" ht="24" customHeight="1" spans="1:27">
      <c r="A61" s="212"/>
      <c r="B61" s="213"/>
      <c r="C61" s="214"/>
      <c r="D61" s="215"/>
      <c r="E61" s="216" t="str">
        <f>IF(D61="","",VLOOKUP(D61,'[4]Account Code'!$A$3:$D$272,2,0))</f>
        <v/>
      </c>
      <c r="F61" s="217"/>
      <c r="G61" s="228"/>
      <c r="H61" s="218"/>
      <c r="I61" s="219">
        <f>IFERROR(VLOOKUP(O61,[4]CREDITORS!A:B,2,0),"")</f>
        <v>0</v>
      </c>
      <c r="J61" s="220"/>
      <c r="K61" s="221"/>
      <c r="L61" s="230" t="e">
        <f t="shared" si="0"/>
        <v>#REF!</v>
      </c>
      <c r="M61" s="238"/>
      <c r="N61" s="224"/>
      <c r="O61" s="192"/>
      <c r="P61" s="211">
        <f t="shared" si="1"/>
        <v>0</v>
      </c>
      <c r="Q61" s="211"/>
      <c r="R61" s="211"/>
      <c r="S61" s="139"/>
      <c r="T61" s="237"/>
      <c r="U61" s="151"/>
      <c r="V61" s="236"/>
      <c r="W61" s="211"/>
      <c r="X61" s="211"/>
      <c r="Y61" s="226"/>
      <c r="Z61" s="226"/>
      <c r="AA61" s="226"/>
    </row>
    <row r="62" s="106" customFormat="1" ht="24" customHeight="1" spans="1:27">
      <c r="A62" s="212"/>
      <c r="B62" s="213"/>
      <c r="C62" s="214"/>
      <c r="D62" s="215"/>
      <c r="E62" s="216" t="str">
        <f>IF(D62="","",VLOOKUP(D62,'[4]Account Code'!$A$3:$D$272,2,0))</f>
        <v/>
      </c>
      <c r="F62" s="217"/>
      <c r="G62" s="228"/>
      <c r="H62" s="218"/>
      <c r="I62" s="219">
        <f>IFERROR(VLOOKUP(O62,[4]CREDITORS!A:B,2,0),"")</f>
        <v>0</v>
      </c>
      <c r="J62" s="220"/>
      <c r="K62" s="221"/>
      <c r="L62" s="230" t="e">
        <f t="shared" si="0"/>
        <v>#REF!</v>
      </c>
      <c r="M62" s="238"/>
      <c r="N62" s="224"/>
      <c r="O62" s="192"/>
      <c r="P62" s="211">
        <f t="shared" si="1"/>
        <v>0</v>
      </c>
      <c r="Q62" s="211"/>
      <c r="R62" s="211"/>
      <c r="S62" s="211"/>
      <c r="T62" s="139"/>
      <c r="U62" s="151"/>
      <c r="V62" s="225"/>
      <c r="W62" s="211"/>
      <c r="X62" s="211"/>
      <c r="Y62" s="226"/>
      <c r="Z62" s="226"/>
      <c r="AA62" s="226"/>
    </row>
    <row r="63" s="106" customFormat="1" ht="24" customHeight="1" spans="1:27">
      <c r="A63" s="212"/>
      <c r="B63" s="213"/>
      <c r="C63" s="214"/>
      <c r="D63" s="215"/>
      <c r="E63" s="216" t="str">
        <f>IF(D63="","",VLOOKUP(D63,'[4]Account Code'!$A$3:$D$272,2,0))</f>
        <v/>
      </c>
      <c r="F63" s="217"/>
      <c r="G63" s="228"/>
      <c r="H63" s="218"/>
      <c r="I63" s="219">
        <f>IFERROR(VLOOKUP(O63,[4]CREDITORS!A:B,2,0),"")</f>
        <v>0</v>
      </c>
      <c r="J63" s="221"/>
      <c r="K63" s="221"/>
      <c r="L63" s="230" t="e">
        <f t="shared" si="0"/>
        <v>#REF!</v>
      </c>
      <c r="M63" s="231"/>
      <c r="N63" s="224"/>
      <c r="O63" s="192"/>
      <c r="P63" s="211">
        <f t="shared" si="1"/>
        <v>0</v>
      </c>
      <c r="Q63" s="211"/>
      <c r="R63" s="211"/>
      <c r="S63" s="211"/>
      <c r="T63" s="139"/>
      <c r="U63" s="139"/>
      <c r="V63" s="236"/>
      <c r="W63" s="211"/>
      <c r="X63" s="211"/>
      <c r="Y63" s="226"/>
      <c r="Z63" s="226"/>
      <c r="AA63" s="226"/>
    </row>
    <row r="64" s="106" customFormat="1" ht="24" customHeight="1" spans="1:27">
      <c r="A64" s="212"/>
      <c r="B64" s="213"/>
      <c r="C64" s="214"/>
      <c r="D64" s="239"/>
      <c r="E64" s="216" t="str">
        <f>IF(D64="","",VLOOKUP(D64,'[4]Account Code'!$A$3:$D$272,2,0))</f>
        <v/>
      </c>
      <c r="F64" s="217"/>
      <c r="G64" s="228"/>
      <c r="H64" s="218"/>
      <c r="I64" s="219">
        <f>IFERROR(VLOOKUP(O64,[4]CREDITORS!A:B,2,0),"")</f>
        <v>0</v>
      </c>
      <c r="J64" s="229"/>
      <c r="K64" s="221"/>
      <c r="L64" s="230" t="e">
        <f t="shared" si="0"/>
        <v>#REF!</v>
      </c>
      <c r="M64" s="231"/>
      <c r="N64" s="224"/>
      <c r="O64" s="192"/>
      <c r="P64" s="211">
        <f t="shared" si="1"/>
        <v>0</v>
      </c>
      <c r="Q64" s="211"/>
      <c r="R64" s="211"/>
      <c r="S64" s="211"/>
      <c r="T64" s="139"/>
      <c r="U64" s="139"/>
      <c r="V64" s="236"/>
      <c r="W64" s="211"/>
      <c r="X64" s="211"/>
      <c r="Y64" s="226"/>
      <c r="Z64" s="226"/>
      <c r="AA64" s="226"/>
    </row>
    <row r="65" s="106" customFormat="1" ht="24" customHeight="1" spans="1:27">
      <c r="A65" s="212"/>
      <c r="B65" s="213"/>
      <c r="C65" s="214"/>
      <c r="D65" s="215"/>
      <c r="E65" s="216" t="str">
        <f>IF(D65="","",VLOOKUP(D65,'[4]Account Code'!$A$3:$D$272,2,0))</f>
        <v/>
      </c>
      <c r="F65" s="217"/>
      <c r="G65" s="228"/>
      <c r="H65" s="218"/>
      <c r="I65" s="219">
        <f>IFERROR(VLOOKUP(O65,[4]CREDITORS!A:B,2,0),"")</f>
        <v>0</v>
      </c>
      <c r="J65" s="221"/>
      <c r="K65" s="221"/>
      <c r="L65" s="230" t="e">
        <f t="shared" si="0"/>
        <v>#REF!</v>
      </c>
      <c r="M65" s="231"/>
      <c r="N65" s="224"/>
      <c r="O65" s="192"/>
      <c r="P65" s="211">
        <f t="shared" si="1"/>
        <v>0</v>
      </c>
      <c r="Q65" s="211"/>
      <c r="R65" s="211"/>
      <c r="S65" s="211"/>
      <c r="T65" s="139"/>
      <c r="U65" s="139"/>
      <c r="V65" s="236"/>
      <c r="W65" s="211"/>
      <c r="X65" s="211"/>
      <c r="Y65" s="226"/>
      <c r="Z65" s="226"/>
      <c r="AA65" s="226"/>
    </row>
    <row r="66" s="106" customFormat="1" ht="24" customHeight="1" spans="1:27">
      <c r="A66" s="212"/>
      <c r="B66" s="213"/>
      <c r="C66" s="214"/>
      <c r="D66" s="239"/>
      <c r="E66" s="216" t="str">
        <f>IF(D66="","",VLOOKUP(D66,'[4]Account Code'!$A$3:$D$272,2,0))</f>
        <v/>
      </c>
      <c r="F66" s="217"/>
      <c r="G66" s="228"/>
      <c r="H66" s="218"/>
      <c r="I66" s="219">
        <f>IFERROR(VLOOKUP(O66,[4]CREDITORS!A:B,2,0),"")</f>
        <v>0</v>
      </c>
      <c r="J66" s="221"/>
      <c r="K66" s="221"/>
      <c r="L66" s="230" t="e">
        <f t="shared" si="0"/>
        <v>#REF!</v>
      </c>
      <c r="M66" s="231"/>
      <c r="N66" s="224"/>
      <c r="O66" s="192"/>
      <c r="P66" s="211">
        <f t="shared" si="1"/>
        <v>0</v>
      </c>
      <c r="Q66" s="211"/>
      <c r="R66" s="211"/>
      <c r="S66" s="211"/>
      <c r="T66" s="211"/>
      <c r="U66" s="139"/>
      <c r="V66" s="236"/>
      <c r="W66" s="211"/>
      <c r="X66" s="211"/>
      <c r="Y66" s="226"/>
      <c r="Z66" s="226"/>
      <c r="AA66" s="226"/>
    </row>
    <row r="67" s="106" customFormat="1" ht="24" customHeight="1" spans="1:27">
      <c r="A67" s="212"/>
      <c r="B67" s="213"/>
      <c r="C67" s="214"/>
      <c r="D67" s="239"/>
      <c r="E67" s="216" t="str">
        <f>IF(D67="","",VLOOKUP(D67,'[4]Account Code'!$A$3:$D$272,2,0))</f>
        <v/>
      </c>
      <c r="F67" s="217"/>
      <c r="G67" s="228"/>
      <c r="H67" s="218"/>
      <c r="I67" s="219">
        <f>IFERROR(VLOOKUP(O67,[4]CREDITORS!A:B,2,0),"")</f>
        <v>0</v>
      </c>
      <c r="J67" s="221"/>
      <c r="K67" s="221"/>
      <c r="L67" s="230" t="e">
        <f t="shared" si="0"/>
        <v>#REF!</v>
      </c>
      <c r="M67" s="231"/>
      <c r="N67" s="224"/>
      <c r="O67" s="192"/>
      <c r="P67" s="211">
        <f t="shared" si="1"/>
        <v>0</v>
      </c>
      <c r="Q67" s="211"/>
      <c r="R67" s="211"/>
      <c r="S67" s="233"/>
      <c r="T67" s="139"/>
      <c r="U67" s="139"/>
      <c r="V67" s="225"/>
      <c r="W67" s="211"/>
      <c r="X67" s="211"/>
      <c r="Y67" s="226"/>
      <c r="Z67" s="226"/>
      <c r="AA67" s="226"/>
    </row>
    <row r="68" s="106" customFormat="1" ht="24" customHeight="1" spans="1:27">
      <c r="A68" s="212"/>
      <c r="B68" s="213"/>
      <c r="C68" s="214"/>
      <c r="D68" s="240"/>
      <c r="E68" s="216" t="str">
        <f>IF(D68="","",VLOOKUP(D68,'[4]Account Code'!$A$3:$D$272,2,0))</f>
        <v/>
      </c>
      <c r="F68" s="217"/>
      <c r="G68" s="228"/>
      <c r="H68" s="218"/>
      <c r="I68" s="219">
        <f>IFERROR(VLOOKUP(O68,[4]CREDITORS!A:B,2,0),"")</f>
        <v>0</v>
      </c>
      <c r="J68" s="221"/>
      <c r="K68" s="221"/>
      <c r="L68" s="230" t="e">
        <f t="shared" si="0"/>
        <v>#REF!</v>
      </c>
      <c r="M68" s="231"/>
      <c r="N68" s="224"/>
      <c r="O68" s="192"/>
      <c r="P68" s="211">
        <f t="shared" si="1"/>
        <v>0</v>
      </c>
      <c r="Q68" s="211"/>
      <c r="R68" s="211"/>
      <c r="S68" s="211"/>
      <c r="T68" s="139"/>
      <c r="U68" s="139"/>
      <c r="V68" s="225"/>
      <c r="W68" s="211"/>
      <c r="X68" s="211"/>
      <c r="Y68" s="226"/>
      <c r="Z68" s="226"/>
      <c r="AA68" s="226"/>
    </row>
    <row r="69" s="106" customFormat="1" ht="24" customHeight="1" spans="1:27">
      <c r="A69" s="212"/>
      <c r="B69" s="213"/>
      <c r="C69" s="214"/>
      <c r="D69" s="215"/>
      <c r="E69" s="216" t="str">
        <f>IF(D69="","",VLOOKUP(D69,'[4]Account Code'!$A$3:$D$272,2,0))</f>
        <v/>
      </c>
      <c r="F69" s="217"/>
      <c r="G69" s="228"/>
      <c r="H69" s="228"/>
      <c r="I69" s="219">
        <f>IFERROR(VLOOKUP(O69,[4]CREDITORS!A:B,2,0),"")</f>
        <v>0</v>
      </c>
      <c r="J69" s="221"/>
      <c r="K69" s="221"/>
      <c r="L69" s="230" t="e">
        <f t="shared" si="0"/>
        <v>#REF!</v>
      </c>
      <c r="M69" s="231"/>
      <c r="N69" s="224"/>
      <c r="O69" s="192"/>
      <c r="P69" s="211">
        <f t="shared" si="1"/>
        <v>0</v>
      </c>
      <c r="Q69" s="211"/>
      <c r="R69" s="211"/>
      <c r="S69" s="211"/>
      <c r="T69" s="139"/>
      <c r="U69" s="139"/>
      <c r="V69" s="225"/>
      <c r="W69" s="211"/>
      <c r="X69" s="211"/>
      <c r="Y69" s="226"/>
      <c r="Z69" s="226"/>
      <c r="AA69" s="226"/>
    </row>
    <row r="70" s="106" customFormat="1" ht="24" customHeight="1" spans="1:27">
      <c r="A70" s="212"/>
      <c r="B70" s="213"/>
      <c r="C70" s="214"/>
      <c r="D70" s="215"/>
      <c r="E70" s="216" t="str">
        <f>IF(D70="","",VLOOKUP(D70,'[4]Account Code'!$A$3:$D$272,2,0))</f>
        <v/>
      </c>
      <c r="F70" s="217"/>
      <c r="G70" s="228"/>
      <c r="H70" s="232"/>
      <c r="I70" s="219">
        <f>IFERROR(VLOOKUP(O70,[4]CREDITORS!A:B,2,0),"")</f>
        <v>0</v>
      </c>
      <c r="J70" s="221"/>
      <c r="K70" s="221"/>
      <c r="L70" s="222" t="e">
        <f t="shared" si="0"/>
        <v>#REF!</v>
      </c>
      <c r="M70" s="227"/>
      <c r="N70" s="224"/>
      <c r="O70" s="192"/>
      <c r="P70" s="211">
        <f t="shared" si="1"/>
        <v>0</v>
      </c>
      <c r="Q70" s="211"/>
      <c r="R70" s="226"/>
      <c r="S70" s="211"/>
      <c r="T70" s="139"/>
      <c r="U70" s="139"/>
      <c r="V70" s="225"/>
      <c r="W70" s="211"/>
      <c r="X70" s="211"/>
      <c r="Y70" s="226"/>
      <c r="Z70" s="226"/>
      <c r="AA70" s="226"/>
    </row>
    <row r="71" s="106" customFormat="1" ht="24" customHeight="1" spans="1:27">
      <c r="A71" s="212"/>
      <c r="B71" s="213"/>
      <c r="C71" s="214"/>
      <c r="D71" s="215"/>
      <c r="E71" s="216" t="str">
        <f>IF(D71="","",VLOOKUP(D71,'[4]Account Code'!$A$3:$D$272,2,0))</f>
        <v/>
      </c>
      <c r="F71" s="217"/>
      <c r="G71" s="228"/>
      <c r="H71" s="228"/>
      <c r="I71" s="219">
        <f>IFERROR(VLOOKUP(O71,[4]CREDITORS!A:B,2,0),"")</f>
        <v>0</v>
      </c>
      <c r="J71" s="221"/>
      <c r="K71" s="221"/>
      <c r="L71" s="222" t="e">
        <f t="shared" si="0"/>
        <v>#REF!</v>
      </c>
      <c r="M71" s="227"/>
      <c r="N71" s="224"/>
      <c r="O71" s="192"/>
      <c r="P71" s="211">
        <f t="shared" si="1"/>
        <v>0</v>
      </c>
      <c r="Q71" s="226"/>
      <c r="R71" s="226"/>
      <c r="S71" s="211"/>
      <c r="T71" s="139"/>
      <c r="U71" s="139"/>
      <c r="V71" s="225"/>
      <c r="W71" s="211"/>
      <c r="X71" s="211"/>
      <c r="Y71" s="226"/>
      <c r="Z71" s="226"/>
      <c r="AA71" s="226"/>
    </row>
    <row r="72" s="106" customFormat="1" ht="24" customHeight="1" spans="1:27">
      <c r="A72" s="212"/>
      <c r="B72" s="213"/>
      <c r="C72" s="241"/>
      <c r="D72" s="215"/>
      <c r="E72" s="216" t="str">
        <f>IF(D72="","",VLOOKUP(D72,'[4]Account Code'!$A$3:$D$272,2,0))</f>
        <v/>
      </c>
      <c r="F72" s="217"/>
      <c r="G72" s="228"/>
      <c r="H72" s="228"/>
      <c r="I72" s="219">
        <f>IFERROR(VLOOKUP(O72,[4]CREDITORS!A:B,2,0),"")</f>
        <v>0</v>
      </c>
      <c r="J72" s="221"/>
      <c r="K72" s="221"/>
      <c r="L72" s="222" t="e">
        <f t="shared" si="0"/>
        <v>#REF!</v>
      </c>
      <c r="M72" s="227"/>
      <c r="N72" s="224"/>
      <c r="O72" s="192"/>
      <c r="P72" s="211">
        <f t="shared" si="1"/>
        <v>0</v>
      </c>
      <c r="Q72" s="226"/>
      <c r="R72" s="226"/>
      <c r="S72" s="211"/>
      <c r="T72" s="139"/>
      <c r="U72" s="139"/>
      <c r="V72" s="236"/>
      <c r="W72" s="211"/>
      <c r="X72" s="211"/>
      <c r="Y72" s="226"/>
      <c r="Z72" s="226"/>
      <c r="AA72" s="226"/>
    </row>
    <row r="73" s="106" customFormat="1" ht="24" customHeight="1" spans="1:27">
      <c r="A73" s="212"/>
      <c r="B73" s="213"/>
      <c r="C73" s="214"/>
      <c r="D73" s="215"/>
      <c r="E73" s="216" t="str">
        <f>IF(D73="","",VLOOKUP(D73,'[4]Account Code'!$A$3:$D$272,2,0))</f>
        <v/>
      </c>
      <c r="F73" s="217"/>
      <c r="G73" s="232"/>
      <c r="H73" s="228"/>
      <c r="I73" s="219">
        <f>IFERROR(VLOOKUP(O73,[4]CREDITORS!A:B,2,0),"")</f>
        <v>0</v>
      </c>
      <c r="J73" s="221"/>
      <c r="K73" s="221"/>
      <c r="L73" s="222" t="e">
        <f t="shared" si="0"/>
        <v>#REF!</v>
      </c>
      <c r="M73" s="227"/>
      <c r="N73" s="224"/>
      <c r="O73" s="192"/>
      <c r="P73" s="211">
        <f t="shared" si="1"/>
        <v>0</v>
      </c>
      <c r="Q73" s="226"/>
      <c r="R73" s="226"/>
      <c r="S73" s="211"/>
      <c r="T73" s="139"/>
      <c r="U73" s="139"/>
      <c r="V73" s="236"/>
      <c r="W73" s="211"/>
      <c r="X73" s="211"/>
      <c r="Y73" s="226"/>
      <c r="Z73" s="226"/>
      <c r="AA73" s="226"/>
    </row>
    <row r="74" s="106" customFormat="1" ht="24" customHeight="1" spans="1:27">
      <c r="A74" s="212"/>
      <c r="B74" s="213"/>
      <c r="C74" s="214"/>
      <c r="D74" s="215"/>
      <c r="E74" s="216" t="str">
        <f>IF(D74="","",VLOOKUP(D74,'[4]Account Code'!$A$3:$D$272,2,0))</f>
        <v/>
      </c>
      <c r="F74" s="217"/>
      <c r="G74" s="228"/>
      <c r="H74" s="218"/>
      <c r="I74" s="219">
        <f>IFERROR(VLOOKUP(O74,[4]CREDITORS!A:B,2,0),"")</f>
        <v>0</v>
      </c>
      <c r="J74" s="221"/>
      <c r="K74" s="221"/>
      <c r="L74" s="222" t="e">
        <f t="shared" si="0"/>
        <v>#REF!</v>
      </c>
      <c r="M74" s="227"/>
      <c r="N74" s="224"/>
      <c r="O74" s="192"/>
      <c r="P74" s="211">
        <f t="shared" si="1"/>
        <v>0</v>
      </c>
      <c r="Q74" s="226"/>
      <c r="R74" s="226"/>
      <c r="S74" s="211"/>
      <c r="T74" s="139"/>
      <c r="U74" s="139"/>
      <c r="V74" s="236"/>
      <c r="W74" s="211"/>
      <c r="X74" s="211"/>
      <c r="Y74" s="226"/>
      <c r="Z74" s="226"/>
      <c r="AA74" s="226"/>
    </row>
    <row r="75" s="106" customFormat="1" ht="24" customHeight="1" spans="1:27">
      <c r="A75" s="212"/>
      <c r="B75" s="213"/>
      <c r="C75" s="214"/>
      <c r="D75" s="215"/>
      <c r="E75" s="216" t="str">
        <f>IF(D75="","",VLOOKUP(D75,'[4]Account Code'!$A$3:$D$272,2,0))</f>
        <v/>
      </c>
      <c r="F75" s="217"/>
      <c r="G75" s="228"/>
      <c r="H75" s="228"/>
      <c r="I75" s="219">
        <f>IFERROR(VLOOKUP(O75,[4]CREDITORS!A:B,2,0),"")</f>
        <v>0</v>
      </c>
      <c r="J75" s="221"/>
      <c r="K75" s="221"/>
      <c r="L75" s="222" t="e">
        <f t="shared" ref="L75:L138" si="2">+L74+J75-K75</f>
        <v>#REF!</v>
      </c>
      <c r="M75" s="227"/>
      <c r="N75" s="224"/>
      <c r="O75" s="192"/>
      <c r="P75" s="211">
        <f t="shared" ref="P75:P138" si="3">(LEN(C75))</f>
        <v>0</v>
      </c>
      <c r="Q75" s="226"/>
      <c r="R75" s="226"/>
      <c r="S75" s="211"/>
      <c r="T75" s="139"/>
      <c r="U75" s="139"/>
      <c r="V75" s="236"/>
      <c r="W75" s="211"/>
      <c r="X75" s="211"/>
      <c r="Y75" s="226"/>
      <c r="Z75" s="226"/>
      <c r="AA75" s="226"/>
    </row>
    <row r="76" s="106" customFormat="1" ht="24" customHeight="1" spans="1:27">
      <c r="A76" s="212"/>
      <c r="B76" s="213"/>
      <c r="C76" s="214"/>
      <c r="D76" s="215"/>
      <c r="E76" s="216" t="str">
        <f>IF(D76="","",VLOOKUP(D76,'[4]Account Code'!$A$3:$D$272,2,0))</f>
        <v/>
      </c>
      <c r="F76" s="217"/>
      <c r="G76" s="228"/>
      <c r="H76" s="218"/>
      <c r="I76" s="219">
        <f>IFERROR(VLOOKUP(O76,[4]CREDITORS!A:B,2,0),"")</f>
        <v>0</v>
      </c>
      <c r="J76" s="221"/>
      <c r="K76" s="221"/>
      <c r="L76" s="222" t="e">
        <f t="shared" si="2"/>
        <v>#REF!</v>
      </c>
      <c r="M76" s="227"/>
      <c r="N76" s="224"/>
      <c r="O76" s="192"/>
      <c r="P76" s="211">
        <f t="shared" si="3"/>
        <v>0</v>
      </c>
      <c r="Q76" s="226"/>
      <c r="R76" s="226"/>
      <c r="S76" s="211"/>
      <c r="T76" s="211"/>
      <c r="U76" s="211"/>
      <c r="V76" s="225"/>
      <c r="W76" s="211"/>
      <c r="X76" s="211"/>
      <c r="Y76" s="226"/>
      <c r="Z76" s="226"/>
      <c r="AA76" s="226"/>
    </row>
    <row r="77" s="106" customFormat="1" ht="24" customHeight="1" spans="1:27">
      <c r="A77" s="212"/>
      <c r="B77" s="213"/>
      <c r="C77" s="241"/>
      <c r="D77" s="240"/>
      <c r="E77" s="216" t="str">
        <f>IF(D77="","",VLOOKUP(D77,'[4]Account Code'!$A$3:$D$272,2,0))</f>
        <v/>
      </c>
      <c r="F77" s="217"/>
      <c r="G77" s="228"/>
      <c r="H77" s="218"/>
      <c r="I77" s="219">
        <f>IFERROR(VLOOKUP(O77,[4]CREDITORS!A:B,2,0),"")</f>
        <v>0</v>
      </c>
      <c r="J77" s="221"/>
      <c r="K77" s="221"/>
      <c r="L77" s="222" t="e">
        <f t="shared" si="2"/>
        <v>#REF!</v>
      </c>
      <c r="M77" s="231"/>
      <c r="N77" s="224"/>
      <c r="O77" s="192"/>
      <c r="P77" s="211">
        <f t="shared" si="3"/>
        <v>0</v>
      </c>
      <c r="Q77" s="226"/>
      <c r="R77" s="226"/>
      <c r="S77" s="211"/>
      <c r="T77" s="211"/>
      <c r="U77" s="211"/>
      <c r="V77" s="225"/>
      <c r="W77" s="211"/>
      <c r="X77" s="211"/>
      <c r="Y77" s="226"/>
      <c r="Z77" s="226"/>
      <c r="AA77" s="226"/>
    </row>
    <row r="78" s="106" customFormat="1" ht="24" customHeight="1" spans="1:27">
      <c r="A78" s="212"/>
      <c r="B78" s="213"/>
      <c r="C78" s="214"/>
      <c r="D78" s="215"/>
      <c r="E78" s="216" t="str">
        <f>IF(D78="","",VLOOKUP(D78,'[4]Account Code'!$A$3:$D$272,2,0))</f>
        <v/>
      </c>
      <c r="F78" s="217"/>
      <c r="G78" s="232"/>
      <c r="H78" s="218"/>
      <c r="I78" s="219">
        <f>IFERROR(VLOOKUP(O78,[4]CREDITORS!A:B,2,0),"")</f>
        <v>0</v>
      </c>
      <c r="J78" s="221"/>
      <c r="K78" s="221"/>
      <c r="L78" s="222" t="e">
        <f t="shared" si="2"/>
        <v>#REF!</v>
      </c>
      <c r="M78" s="242"/>
      <c r="N78" s="224"/>
      <c r="O78" s="192"/>
      <c r="P78" s="211">
        <f t="shared" si="3"/>
        <v>0</v>
      </c>
      <c r="Q78" s="226"/>
      <c r="R78" s="226"/>
      <c r="S78" s="211"/>
      <c r="T78" s="211"/>
      <c r="U78" s="211"/>
      <c r="V78" s="225"/>
      <c r="W78" s="211"/>
      <c r="X78" s="211"/>
      <c r="Y78" s="226"/>
      <c r="Z78" s="226"/>
      <c r="AA78" s="226"/>
    </row>
    <row r="79" s="106" customFormat="1" ht="24" customHeight="1" spans="1:27">
      <c r="A79" s="212"/>
      <c r="B79" s="213"/>
      <c r="C79" s="241"/>
      <c r="D79" s="240"/>
      <c r="E79" s="216" t="str">
        <f>IF(D79="","",VLOOKUP(D79,'[4]Account Code'!$A$3:$D$272,2,0))</f>
        <v/>
      </c>
      <c r="F79" s="217"/>
      <c r="G79" s="228"/>
      <c r="H79" s="228"/>
      <c r="I79" s="219">
        <f>IFERROR(VLOOKUP(O79,[4]CREDITORS!A:B,2,0),"")</f>
        <v>0</v>
      </c>
      <c r="J79" s="221"/>
      <c r="K79" s="221"/>
      <c r="L79" s="222" t="e">
        <f t="shared" si="2"/>
        <v>#REF!</v>
      </c>
      <c r="M79" s="227"/>
      <c r="N79" s="224"/>
      <c r="O79" s="192"/>
      <c r="P79" s="211">
        <f t="shared" si="3"/>
        <v>0</v>
      </c>
      <c r="Q79" s="226"/>
      <c r="R79" s="226"/>
      <c r="S79" s="211"/>
      <c r="T79" s="211"/>
      <c r="U79" s="211"/>
      <c r="V79" s="225"/>
      <c r="W79" s="211"/>
      <c r="X79" s="211"/>
      <c r="Y79" s="226"/>
      <c r="Z79" s="226"/>
      <c r="AA79" s="226"/>
    </row>
    <row r="80" s="106" customFormat="1" ht="24" customHeight="1" spans="1:27">
      <c r="A80" s="212"/>
      <c r="B80" s="213"/>
      <c r="C80" s="214"/>
      <c r="D80" s="240"/>
      <c r="E80" s="216" t="str">
        <f>IF(D80="","",VLOOKUP(D80,'[4]Account Code'!$A$3:$D$272,2,0))</f>
        <v/>
      </c>
      <c r="F80" s="217"/>
      <c r="G80" s="228"/>
      <c r="H80" s="228"/>
      <c r="I80" s="219">
        <f>IFERROR(VLOOKUP(O80,[4]CREDITORS!A:B,2,0),"")</f>
        <v>0</v>
      </c>
      <c r="J80" s="221"/>
      <c r="K80" s="221"/>
      <c r="L80" s="222" t="e">
        <f t="shared" si="2"/>
        <v>#REF!</v>
      </c>
      <c r="M80" s="227"/>
      <c r="N80" s="243"/>
      <c r="O80" s="192"/>
      <c r="P80" s="211">
        <f t="shared" si="3"/>
        <v>0</v>
      </c>
      <c r="Q80" s="226"/>
      <c r="R80" s="226"/>
      <c r="S80" s="211"/>
      <c r="T80" s="211"/>
      <c r="U80" s="211"/>
      <c r="V80" s="225"/>
      <c r="W80" s="211"/>
      <c r="X80" s="211"/>
      <c r="Y80" s="226"/>
      <c r="Z80" s="226"/>
      <c r="AA80" s="226"/>
    </row>
    <row r="81" s="106" customFormat="1" ht="24" customHeight="1" spans="1:27">
      <c r="A81" s="212"/>
      <c r="B81" s="213"/>
      <c r="C81" s="214"/>
      <c r="D81" s="215"/>
      <c r="E81" s="216" t="str">
        <f>IF(D81="","",VLOOKUP(D81,'[4]Account Code'!$A$3:$D$272,2,0))</f>
        <v/>
      </c>
      <c r="F81" s="217"/>
      <c r="G81" s="228"/>
      <c r="H81" s="228"/>
      <c r="I81" s="219">
        <f>IFERROR(VLOOKUP(O81,[4]CREDITORS!A:B,2,0),"")</f>
        <v>0</v>
      </c>
      <c r="J81" s="221"/>
      <c r="K81" s="221"/>
      <c r="L81" s="222" t="e">
        <f t="shared" si="2"/>
        <v>#REF!</v>
      </c>
      <c r="M81" s="227"/>
      <c r="N81" s="224"/>
      <c r="O81" s="192"/>
      <c r="P81" s="211">
        <f t="shared" si="3"/>
        <v>0</v>
      </c>
      <c r="Q81" s="226"/>
      <c r="R81" s="226"/>
      <c r="S81" s="211"/>
      <c r="T81" s="211"/>
      <c r="U81" s="211"/>
      <c r="V81" s="225"/>
      <c r="W81" s="211"/>
      <c r="X81" s="211"/>
      <c r="Y81" s="226"/>
      <c r="Z81" s="226"/>
      <c r="AA81" s="226"/>
    </row>
    <row r="82" s="106" customFormat="1" ht="24" customHeight="1" spans="1:27">
      <c r="A82" s="212"/>
      <c r="B82" s="213"/>
      <c r="C82" s="214"/>
      <c r="D82" s="215"/>
      <c r="E82" s="216" t="str">
        <f>IF(D82="","",VLOOKUP(D82,'[4]Account Code'!$A$3:$D$272,2,0))</f>
        <v/>
      </c>
      <c r="F82" s="217"/>
      <c r="G82" s="228"/>
      <c r="H82" s="228"/>
      <c r="I82" s="219">
        <f>IFERROR(VLOOKUP(O82,[4]CREDITORS!A:B,2,0),"")</f>
        <v>0</v>
      </c>
      <c r="J82" s="221"/>
      <c r="K82" s="221"/>
      <c r="L82" s="222" t="e">
        <f t="shared" si="2"/>
        <v>#REF!</v>
      </c>
      <c r="M82" s="227"/>
      <c r="N82" s="224"/>
      <c r="O82" s="192"/>
      <c r="P82" s="211">
        <f t="shared" si="3"/>
        <v>0</v>
      </c>
      <c r="Q82" s="226"/>
      <c r="R82" s="226"/>
      <c r="S82" s="211"/>
      <c r="T82" s="211"/>
      <c r="U82" s="211"/>
      <c r="V82" s="225"/>
      <c r="W82" s="211"/>
      <c r="X82" s="211"/>
      <c r="Y82" s="226"/>
      <c r="Z82" s="226"/>
      <c r="AA82" s="226"/>
    </row>
    <row r="83" s="106" customFormat="1" ht="24" customHeight="1" spans="1:27">
      <c r="A83" s="212"/>
      <c r="B83" s="213"/>
      <c r="C83" s="214"/>
      <c r="D83" s="215"/>
      <c r="E83" s="216" t="str">
        <f>IF(D83="","",VLOOKUP(D83,'[4]Account Code'!$A$3:$D$272,2,0))</f>
        <v/>
      </c>
      <c r="F83" s="217"/>
      <c r="G83" s="228"/>
      <c r="H83" s="228"/>
      <c r="I83" s="219">
        <f>IFERROR(VLOOKUP(O83,[4]CREDITORS!A:B,2,0),"")</f>
        <v>0</v>
      </c>
      <c r="J83" s="221"/>
      <c r="K83" s="221"/>
      <c r="L83" s="222" t="e">
        <f t="shared" si="2"/>
        <v>#REF!</v>
      </c>
      <c r="M83" s="227"/>
      <c r="N83" s="224"/>
      <c r="O83" s="192"/>
      <c r="P83" s="211">
        <f t="shared" si="3"/>
        <v>0</v>
      </c>
      <c r="Q83" s="226"/>
      <c r="R83" s="226"/>
      <c r="S83" s="211"/>
      <c r="T83" s="211"/>
      <c r="U83" s="211"/>
      <c r="V83" s="225"/>
      <c r="W83" s="211"/>
      <c r="X83" s="211"/>
      <c r="Y83" s="226"/>
      <c r="Z83" s="226"/>
      <c r="AA83" s="226"/>
    </row>
    <row r="84" s="106" customFormat="1" ht="24" customHeight="1" spans="1:27">
      <c r="A84" s="212"/>
      <c r="B84" s="213"/>
      <c r="C84" s="214"/>
      <c r="D84" s="240"/>
      <c r="E84" s="216" t="str">
        <f>IF(D84="","",VLOOKUP(D84,'[4]Account Code'!$A$3:$D$272,2,0))</f>
        <v/>
      </c>
      <c r="F84" s="217"/>
      <c r="G84" s="228"/>
      <c r="H84" s="228"/>
      <c r="I84" s="219">
        <f>IFERROR(VLOOKUP(O84,[4]CREDITORS!A:B,2,0),"")</f>
        <v>0</v>
      </c>
      <c r="J84" s="221"/>
      <c r="K84" s="221"/>
      <c r="L84" s="222" t="e">
        <f t="shared" si="2"/>
        <v>#REF!</v>
      </c>
      <c r="M84" s="227"/>
      <c r="N84" s="243"/>
      <c r="O84" s="192"/>
      <c r="P84" s="211">
        <f t="shared" si="3"/>
        <v>0</v>
      </c>
      <c r="Q84" s="226"/>
      <c r="R84" s="226"/>
      <c r="S84" s="211"/>
      <c r="T84" s="211"/>
      <c r="U84" s="211"/>
      <c r="V84" s="225"/>
      <c r="W84" s="211"/>
      <c r="X84" s="211"/>
      <c r="Y84" s="226"/>
      <c r="Z84" s="226"/>
      <c r="AA84" s="226"/>
    </row>
    <row r="85" s="106" customFormat="1" ht="24" customHeight="1" spans="1:27">
      <c r="A85" s="212"/>
      <c r="B85" s="213"/>
      <c r="C85" s="214"/>
      <c r="D85" s="215"/>
      <c r="E85" s="216" t="str">
        <f>IF(D85="","",VLOOKUP(D85,'[4]Account Code'!$A$3:$D$272,2,0))</f>
        <v/>
      </c>
      <c r="F85" s="217"/>
      <c r="G85" s="232"/>
      <c r="H85" s="228"/>
      <c r="I85" s="219">
        <f>IFERROR(VLOOKUP(O85,[4]CREDITORS!A:B,2,0),"")</f>
        <v>0</v>
      </c>
      <c r="J85" s="221"/>
      <c r="K85" s="221"/>
      <c r="L85" s="222" t="e">
        <f t="shared" si="2"/>
        <v>#REF!</v>
      </c>
      <c r="M85" s="227"/>
      <c r="N85" s="224"/>
      <c r="O85" s="192"/>
      <c r="P85" s="211">
        <f t="shared" si="3"/>
        <v>0</v>
      </c>
      <c r="Q85" s="226"/>
      <c r="R85" s="226"/>
      <c r="S85" s="211"/>
      <c r="T85" s="211"/>
      <c r="U85" s="211"/>
      <c r="V85" s="225"/>
      <c r="W85" s="211"/>
      <c r="X85" s="211"/>
      <c r="Y85" s="226"/>
      <c r="Z85" s="226"/>
      <c r="AA85" s="226"/>
    </row>
    <row r="86" s="106" customFormat="1" ht="24" customHeight="1" spans="1:27">
      <c r="A86" s="212"/>
      <c r="B86" s="213"/>
      <c r="C86" s="214"/>
      <c r="D86" s="240"/>
      <c r="E86" s="216" t="str">
        <f>IF(D86="","",VLOOKUP(D86,'[4]Account Code'!$A$3:$D$272,2,0))</f>
        <v/>
      </c>
      <c r="F86" s="217"/>
      <c r="G86" s="228"/>
      <c r="H86" s="228"/>
      <c r="I86" s="219">
        <f>IFERROR(VLOOKUP(O86,[4]CREDITORS!A:B,2,0),"")</f>
        <v>0</v>
      </c>
      <c r="J86" s="221"/>
      <c r="K86" s="221"/>
      <c r="L86" s="222" t="e">
        <f t="shared" si="2"/>
        <v>#REF!</v>
      </c>
      <c r="M86" s="227"/>
      <c r="N86" s="243"/>
      <c r="O86" s="192"/>
      <c r="P86" s="211">
        <f t="shared" si="3"/>
        <v>0</v>
      </c>
      <c r="Q86" s="226"/>
      <c r="R86" s="226"/>
      <c r="S86" s="211"/>
      <c r="T86" s="211"/>
      <c r="U86" s="211"/>
      <c r="V86" s="225"/>
      <c r="W86" s="211"/>
      <c r="X86" s="211"/>
      <c r="Y86" s="226"/>
      <c r="Z86" s="226"/>
      <c r="AA86" s="226"/>
    </row>
    <row r="87" s="106" customFormat="1" ht="24" customHeight="1" spans="1:27">
      <c r="A87" s="212"/>
      <c r="B87" s="213"/>
      <c r="C87" s="214"/>
      <c r="D87" s="215"/>
      <c r="E87" s="216" t="str">
        <f>IF(D87="","",VLOOKUP(D87,'[4]Account Code'!$A$3:$D$272,2,0))</f>
        <v/>
      </c>
      <c r="F87" s="217"/>
      <c r="G87" s="232"/>
      <c r="H87" s="228"/>
      <c r="I87" s="219">
        <f>IFERROR(VLOOKUP(O87,[4]CREDITORS!A:B,2,0),"")</f>
        <v>0</v>
      </c>
      <c r="J87" s="221"/>
      <c r="K87" s="221"/>
      <c r="L87" s="222" t="e">
        <f t="shared" si="2"/>
        <v>#REF!</v>
      </c>
      <c r="M87" s="227"/>
      <c r="N87" s="224"/>
      <c r="O87" s="192"/>
      <c r="P87" s="211">
        <f t="shared" si="3"/>
        <v>0</v>
      </c>
      <c r="Q87" s="226"/>
      <c r="R87" s="226"/>
      <c r="S87" s="211"/>
      <c r="T87" s="211"/>
      <c r="U87" s="211"/>
      <c r="V87" s="225"/>
      <c r="W87" s="211"/>
      <c r="X87" s="211"/>
      <c r="Y87" s="226"/>
      <c r="Z87" s="226"/>
      <c r="AA87" s="226"/>
    </row>
    <row r="88" s="106" customFormat="1" ht="24" customHeight="1" spans="1:27">
      <c r="A88" s="212"/>
      <c r="B88" s="213"/>
      <c r="C88" s="214"/>
      <c r="D88" s="240"/>
      <c r="E88" s="216" t="str">
        <f>IF(D88="","",VLOOKUP(D88,'[4]Account Code'!$A$3:$D$272,2,0))</f>
        <v/>
      </c>
      <c r="F88" s="217"/>
      <c r="G88" s="228"/>
      <c r="H88" s="228"/>
      <c r="I88" s="219">
        <f>IFERROR(VLOOKUP(O88,[4]CREDITORS!A:B,2,0),"")</f>
        <v>0</v>
      </c>
      <c r="J88" s="221"/>
      <c r="K88" s="221"/>
      <c r="L88" s="222" t="e">
        <f t="shared" si="2"/>
        <v>#REF!</v>
      </c>
      <c r="M88" s="227"/>
      <c r="N88" s="243"/>
      <c r="O88" s="192"/>
      <c r="P88" s="211">
        <f t="shared" si="3"/>
        <v>0</v>
      </c>
      <c r="Q88" s="226"/>
      <c r="R88" s="226"/>
      <c r="S88" s="211"/>
      <c r="T88" s="211"/>
      <c r="U88" s="211"/>
      <c r="V88" s="225"/>
      <c r="W88" s="211"/>
      <c r="X88" s="211"/>
      <c r="Y88" s="226"/>
      <c r="Z88" s="226"/>
      <c r="AA88" s="226"/>
    </row>
    <row r="89" s="106" customFormat="1" ht="24" customHeight="1" spans="1:27">
      <c r="A89" s="212"/>
      <c r="B89" s="213"/>
      <c r="C89" s="214"/>
      <c r="D89" s="215"/>
      <c r="E89" s="216" t="str">
        <f>IF(D89="","",VLOOKUP(D89,'[4]Account Code'!$A$3:$D$272,2,0))</f>
        <v/>
      </c>
      <c r="F89" s="217"/>
      <c r="G89" s="228"/>
      <c r="H89" s="228"/>
      <c r="I89" s="219">
        <f>IFERROR(VLOOKUP(O89,[4]CREDITORS!A:B,2,0),"")</f>
        <v>0</v>
      </c>
      <c r="J89" s="229"/>
      <c r="K89" s="221"/>
      <c r="L89" s="222" t="e">
        <f t="shared" si="2"/>
        <v>#REF!</v>
      </c>
      <c r="M89" s="227"/>
      <c r="N89" s="224"/>
      <c r="O89" s="192"/>
      <c r="P89" s="211">
        <f t="shared" si="3"/>
        <v>0</v>
      </c>
      <c r="Q89" s="226"/>
      <c r="R89" s="226"/>
      <c r="S89" s="211"/>
      <c r="T89" s="211"/>
      <c r="U89" s="211"/>
      <c r="V89" s="225"/>
      <c r="W89" s="211"/>
      <c r="X89" s="211"/>
      <c r="Y89" s="226"/>
      <c r="Z89" s="226"/>
      <c r="AA89" s="226"/>
    </row>
    <row r="90" s="106" customFormat="1" ht="24" customHeight="1" spans="1:27">
      <c r="A90" s="212"/>
      <c r="B90" s="213"/>
      <c r="C90" s="214"/>
      <c r="D90" s="240"/>
      <c r="E90" s="216" t="str">
        <f>IF(D90="","",VLOOKUP(D90,'[4]Account Code'!$A$3:$D$272,2,0))</f>
        <v/>
      </c>
      <c r="F90" s="217"/>
      <c r="G90" s="228"/>
      <c r="H90" s="228"/>
      <c r="I90" s="219">
        <f>IFERROR(VLOOKUP(O90,[4]CREDITORS!A:B,2,0),"")</f>
        <v>0</v>
      </c>
      <c r="J90" s="221"/>
      <c r="K90" s="221"/>
      <c r="L90" s="222" t="e">
        <f t="shared" si="2"/>
        <v>#REF!</v>
      </c>
      <c r="M90" s="227"/>
      <c r="N90" s="243"/>
      <c r="O90" s="244"/>
      <c r="P90" s="211">
        <f t="shared" si="3"/>
        <v>0</v>
      </c>
      <c r="Q90" s="226"/>
      <c r="R90" s="226"/>
      <c r="S90" s="211"/>
      <c r="T90" s="211"/>
      <c r="U90" s="211"/>
      <c r="V90" s="225"/>
      <c r="W90" s="211"/>
      <c r="X90" s="211"/>
      <c r="Y90" s="226"/>
      <c r="Z90" s="226"/>
      <c r="AA90" s="226"/>
    </row>
    <row r="91" s="106" customFormat="1" ht="24" customHeight="1" spans="1:27">
      <c r="A91" s="212"/>
      <c r="B91" s="213"/>
      <c r="C91" s="214"/>
      <c r="D91" s="215"/>
      <c r="E91" s="216" t="str">
        <f>IF(D91="","",VLOOKUP(D91,'[4]Account Code'!$A$3:$D$272,2,0))</f>
        <v/>
      </c>
      <c r="F91" s="217"/>
      <c r="G91" s="228"/>
      <c r="H91" s="228"/>
      <c r="I91" s="219">
        <f>IFERROR(VLOOKUP(O91,[4]CREDITORS!A:B,2,0),"")</f>
        <v>0</v>
      </c>
      <c r="J91" s="221"/>
      <c r="K91" s="221"/>
      <c r="L91" s="222" t="e">
        <f t="shared" si="2"/>
        <v>#REF!</v>
      </c>
      <c r="M91" s="227"/>
      <c r="N91" s="224"/>
      <c r="O91" s="244"/>
      <c r="P91" s="211">
        <f t="shared" si="3"/>
        <v>0</v>
      </c>
      <c r="Q91" s="226"/>
      <c r="R91" s="226"/>
      <c r="S91" s="211"/>
      <c r="T91" s="211"/>
      <c r="U91" s="211"/>
      <c r="V91" s="225"/>
      <c r="W91" s="211"/>
      <c r="X91" s="211"/>
      <c r="Y91" s="226"/>
      <c r="Z91" s="226"/>
      <c r="AA91" s="226"/>
    </row>
    <row r="92" s="106" customFormat="1" ht="24" customHeight="1" spans="1:27">
      <c r="A92" s="212"/>
      <c r="B92" s="213"/>
      <c r="C92" s="214"/>
      <c r="D92" s="215"/>
      <c r="E92" s="216" t="str">
        <f>IF(D92="","",VLOOKUP(D92,'[4]Account Code'!$A$3:$D$272,2,0))</f>
        <v/>
      </c>
      <c r="F92" s="217"/>
      <c r="G92" s="232"/>
      <c r="H92" s="228"/>
      <c r="I92" s="219">
        <f>IFERROR(VLOOKUP(O92,[4]CREDITORS!A:B,2,0),"")</f>
        <v>0</v>
      </c>
      <c r="J92" s="229"/>
      <c r="K92" s="229"/>
      <c r="L92" s="222" t="e">
        <f t="shared" si="2"/>
        <v>#REF!</v>
      </c>
      <c r="M92" s="227"/>
      <c r="N92" s="224"/>
      <c r="O92" s="192"/>
      <c r="P92" s="211">
        <f t="shared" si="3"/>
        <v>0</v>
      </c>
      <c r="Q92" s="226"/>
      <c r="R92" s="226"/>
      <c r="S92" s="233"/>
      <c r="T92" s="211"/>
      <c r="U92" s="211"/>
      <c r="V92" s="225"/>
      <c r="W92" s="211"/>
      <c r="X92" s="211"/>
      <c r="Y92" s="226"/>
      <c r="Z92" s="226"/>
      <c r="AA92" s="226"/>
    </row>
    <row r="93" s="106" customFormat="1" ht="24" customHeight="1" spans="1:27">
      <c r="A93" s="212"/>
      <c r="B93" s="213"/>
      <c r="C93" s="214"/>
      <c r="D93" s="239"/>
      <c r="E93" s="216" t="str">
        <f>IF(D93="","",VLOOKUP(D93,'[4]Account Code'!$A$3:$D$272,2,0))</f>
        <v/>
      </c>
      <c r="F93" s="217"/>
      <c r="G93" s="228"/>
      <c r="H93" s="228"/>
      <c r="I93" s="219">
        <f>IFERROR(VLOOKUP(O93,[4]CREDITORS!A:B,2,0),"")</f>
        <v>0</v>
      </c>
      <c r="J93" s="221"/>
      <c r="K93" s="221"/>
      <c r="L93" s="222" t="e">
        <f t="shared" si="2"/>
        <v>#REF!</v>
      </c>
      <c r="M93" s="227"/>
      <c r="N93" s="224"/>
      <c r="O93" s="192"/>
      <c r="P93" s="211">
        <f t="shared" si="3"/>
        <v>0</v>
      </c>
      <c r="Q93" s="226"/>
      <c r="R93" s="226"/>
      <c r="S93" s="233"/>
      <c r="T93" s="211"/>
      <c r="U93" s="211"/>
      <c r="V93" s="225"/>
      <c r="W93" s="211"/>
      <c r="X93" s="211"/>
      <c r="Y93" s="226"/>
      <c r="Z93" s="226"/>
      <c r="AA93" s="226"/>
    </row>
    <row r="94" s="106" customFormat="1" ht="24" customHeight="1" spans="1:27">
      <c r="A94" s="212"/>
      <c r="B94" s="213"/>
      <c r="C94" s="214"/>
      <c r="D94" s="215"/>
      <c r="E94" s="216" t="str">
        <f>IF(D94="","",VLOOKUP(D94,'[4]Account Code'!$A$3:$D$272,2,0))</f>
        <v/>
      </c>
      <c r="F94" s="217"/>
      <c r="G94" s="232"/>
      <c r="H94" s="228"/>
      <c r="I94" s="219">
        <f>IFERROR(VLOOKUP(O94,[4]CREDITORS!A:B,2,0),"")</f>
        <v>0</v>
      </c>
      <c r="J94" s="221"/>
      <c r="K94" s="221"/>
      <c r="L94" s="222" t="e">
        <f t="shared" si="2"/>
        <v>#REF!</v>
      </c>
      <c r="M94" s="227"/>
      <c r="N94" s="224"/>
      <c r="O94" s="192"/>
      <c r="P94" s="211">
        <f t="shared" si="3"/>
        <v>0</v>
      </c>
      <c r="Q94" s="226"/>
      <c r="R94" s="226"/>
      <c r="S94" s="211"/>
      <c r="T94" s="139"/>
      <c r="U94" s="139"/>
      <c r="V94" s="225"/>
      <c r="W94" s="211"/>
      <c r="X94" s="211"/>
      <c r="Y94" s="226"/>
      <c r="Z94" s="226"/>
      <c r="AA94" s="226"/>
    </row>
    <row r="95" s="106" customFormat="1" ht="24" customHeight="1" spans="1:27">
      <c r="A95" s="212"/>
      <c r="B95" s="213"/>
      <c r="C95" s="214"/>
      <c r="D95" s="245"/>
      <c r="E95" s="216" t="str">
        <f>IF(D95="","",VLOOKUP(D95,'[4]Account Code'!$A$3:$D$272,2,0))</f>
        <v/>
      </c>
      <c r="F95" s="217"/>
      <c r="G95" s="228"/>
      <c r="H95" s="228"/>
      <c r="I95" s="219">
        <f>IFERROR(VLOOKUP(O95,[4]CREDITORS!A:B,2,0),"")</f>
        <v>0</v>
      </c>
      <c r="J95" s="221"/>
      <c r="K95" s="221"/>
      <c r="L95" s="222" t="e">
        <f t="shared" si="2"/>
        <v>#REF!</v>
      </c>
      <c r="M95" s="227"/>
      <c r="N95" s="224"/>
      <c r="O95" s="192"/>
      <c r="P95" s="211">
        <f t="shared" si="3"/>
        <v>0</v>
      </c>
      <c r="Q95" s="226"/>
      <c r="R95" s="226"/>
      <c r="S95" s="211"/>
      <c r="T95" s="139"/>
      <c r="U95" s="139"/>
      <c r="V95" s="225"/>
      <c r="W95" s="211"/>
      <c r="X95" s="211"/>
      <c r="Y95" s="226"/>
      <c r="Z95" s="226"/>
      <c r="AA95" s="226"/>
    </row>
    <row r="96" s="106" customFormat="1" ht="24" customHeight="1" spans="1:27">
      <c r="A96" s="212"/>
      <c r="B96" s="213"/>
      <c r="C96" s="214"/>
      <c r="D96" s="245"/>
      <c r="E96" s="216" t="str">
        <f>IF(D96="","",VLOOKUP(D96,'[4]Account Code'!$A$3:$D$272,2,0))</f>
        <v/>
      </c>
      <c r="F96" s="217"/>
      <c r="G96" s="232"/>
      <c r="H96" s="228"/>
      <c r="I96" s="219">
        <f>IFERROR(VLOOKUP(O96,[4]CREDITORS!A:B,2,0),"")</f>
        <v>0</v>
      </c>
      <c r="J96" s="221"/>
      <c r="K96" s="221"/>
      <c r="L96" s="222" t="e">
        <f t="shared" si="2"/>
        <v>#REF!</v>
      </c>
      <c r="M96" s="227"/>
      <c r="N96" s="224"/>
      <c r="O96" s="192"/>
      <c r="P96" s="211">
        <f t="shared" si="3"/>
        <v>0</v>
      </c>
      <c r="Q96" s="226"/>
      <c r="R96" s="226"/>
      <c r="S96" s="211"/>
      <c r="T96" s="139"/>
      <c r="U96" s="139"/>
      <c r="V96" s="225"/>
      <c r="W96" s="211"/>
      <c r="X96" s="211"/>
      <c r="Y96" s="226"/>
      <c r="Z96" s="226"/>
      <c r="AA96" s="226"/>
    </row>
    <row r="97" s="106" customFormat="1" ht="24" customHeight="1" spans="1:27">
      <c r="A97" s="212"/>
      <c r="B97" s="213"/>
      <c r="C97" s="214"/>
      <c r="D97" s="215"/>
      <c r="E97" s="216" t="str">
        <f>IF(D97="","",VLOOKUP(D97,'[4]Account Code'!$A$3:$D$272,2,0))</f>
        <v/>
      </c>
      <c r="F97" s="217"/>
      <c r="G97" s="228"/>
      <c r="H97" s="228"/>
      <c r="I97" s="219">
        <f>IFERROR(VLOOKUP(O97,[4]CREDITORS!A:B,2,0),"")</f>
        <v>0</v>
      </c>
      <c r="J97" s="221"/>
      <c r="K97" s="221"/>
      <c r="L97" s="222" t="e">
        <f t="shared" si="2"/>
        <v>#REF!</v>
      </c>
      <c r="M97" s="227"/>
      <c r="N97" s="224"/>
      <c r="O97" s="192"/>
      <c r="P97" s="211">
        <f t="shared" si="3"/>
        <v>0</v>
      </c>
      <c r="Q97" s="226"/>
      <c r="R97" s="226"/>
      <c r="S97" s="211"/>
      <c r="T97" s="139"/>
      <c r="U97" s="211"/>
      <c r="V97" s="225"/>
      <c r="W97" s="211"/>
      <c r="X97" s="211"/>
      <c r="Y97" s="226"/>
      <c r="Z97" s="226"/>
      <c r="AA97" s="226"/>
    </row>
    <row r="98" s="106" customFormat="1" ht="24" customHeight="1" spans="1:27">
      <c r="A98" s="212"/>
      <c r="B98" s="213"/>
      <c r="C98" s="214"/>
      <c r="D98" s="215"/>
      <c r="E98" s="216" t="str">
        <f>IF(D98="","",VLOOKUP(D98,'[4]Account Code'!$A$3:$D$272,2,0))</f>
        <v/>
      </c>
      <c r="F98" s="217"/>
      <c r="G98" s="228"/>
      <c r="H98" s="228"/>
      <c r="I98" s="219">
        <f>IFERROR(VLOOKUP(O98,[4]CREDITORS!A:B,2,0),"")</f>
        <v>0</v>
      </c>
      <c r="J98" s="221"/>
      <c r="K98" s="221"/>
      <c r="L98" s="222" t="e">
        <f t="shared" si="2"/>
        <v>#REF!</v>
      </c>
      <c r="M98" s="227"/>
      <c r="N98" s="224"/>
      <c r="O98" s="192"/>
      <c r="P98" s="211">
        <f t="shared" si="3"/>
        <v>0</v>
      </c>
      <c r="Q98" s="226"/>
      <c r="R98" s="226"/>
      <c r="S98" s="211"/>
      <c r="T98" s="139"/>
      <c r="U98" s="139"/>
      <c r="V98" s="225"/>
      <c r="W98" s="211"/>
      <c r="X98" s="211"/>
      <c r="Y98" s="226"/>
      <c r="Z98" s="226"/>
      <c r="AA98" s="226"/>
    </row>
    <row r="99" s="106" customFormat="1" ht="24" customHeight="1" spans="1:27">
      <c r="A99" s="212"/>
      <c r="B99" s="213"/>
      <c r="C99" s="214"/>
      <c r="D99" s="215"/>
      <c r="E99" s="216" t="str">
        <f>IF(D99="","",VLOOKUP(D99,'[4]Account Code'!$A$3:$D$272,2,0))</f>
        <v/>
      </c>
      <c r="F99" s="217"/>
      <c r="G99" s="228"/>
      <c r="H99" s="228"/>
      <c r="I99" s="219">
        <f>IFERROR(VLOOKUP(O99,[4]CREDITORS!A:B,2,0),"")</f>
        <v>0</v>
      </c>
      <c r="J99" s="221"/>
      <c r="K99" s="221"/>
      <c r="L99" s="222" t="e">
        <f t="shared" si="2"/>
        <v>#REF!</v>
      </c>
      <c r="M99" s="227"/>
      <c r="N99" s="224"/>
      <c r="O99" s="192"/>
      <c r="P99" s="211">
        <f t="shared" si="3"/>
        <v>0</v>
      </c>
      <c r="Q99" s="226"/>
      <c r="R99" s="226"/>
      <c r="S99" s="211"/>
      <c r="T99" s="139"/>
      <c r="U99" s="139"/>
      <c r="V99" s="225"/>
      <c r="W99" s="211"/>
      <c r="X99" s="211"/>
      <c r="Y99" s="226"/>
      <c r="Z99" s="226"/>
      <c r="AA99" s="226"/>
    </row>
    <row r="100" s="106" customFormat="1" ht="24" customHeight="1" spans="1:27">
      <c r="A100" s="212"/>
      <c r="B100" s="213"/>
      <c r="C100" s="214"/>
      <c r="D100" s="215"/>
      <c r="E100" s="216" t="str">
        <f>IF(D100="","",VLOOKUP(D100,'[4]Account Code'!$A$3:$D$272,2,0))</f>
        <v/>
      </c>
      <c r="F100" s="217"/>
      <c r="G100" s="232"/>
      <c r="H100" s="228"/>
      <c r="I100" s="219">
        <f>IFERROR(VLOOKUP(O100,[4]CREDITORS!A:B,2,0),"")</f>
        <v>0</v>
      </c>
      <c r="J100" s="229"/>
      <c r="K100" s="221"/>
      <c r="L100" s="222" t="e">
        <f t="shared" si="2"/>
        <v>#REF!</v>
      </c>
      <c r="M100" s="227"/>
      <c r="N100" s="224"/>
      <c r="O100" s="192"/>
      <c r="P100" s="211">
        <f t="shared" si="3"/>
        <v>0</v>
      </c>
      <c r="Q100" s="226"/>
      <c r="R100" s="226"/>
      <c r="S100" s="211"/>
      <c r="T100" s="139"/>
      <c r="U100" s="139"/>
      <c r="V100" s="225"/>
      <c r="W100" s="211"/>
      <c r="X100" s="211"/>
      <c r="Y100" s="226"/>
      <c r="Z100" s="226"/>
      <c r="AA100" s="226"/>
    </row>
    <row r="101" s="106" customFormat="1" ht="24" customHeight="1" spans="1:27">
      <c r="A101" s="212"/>
      <c r="B101" s="213"/>
      <c r="C101" s="214"/>
      <c r="D101" s="245"/>
      <c r="E101" s="216" t="str">
        <f>IF(D101="","",VLOOKUP(D101,'[4]Account Code'!$A$3:$D$272,2,0))</f>
        <v/>
      </c>
      <c r="F101" s="217"/>
      <c r="G101" s="228"/>
      <c r="H101" s="228"/>
      <c r="I101" s="219">
        <f>IFERROR(VLOOKUP(O101,[4]CREDITORS!A:B,2,0),"")</f>
        <v>0</v>
      </c>
      <c r="J101" s="221"/>
      <c r="K101" s="221"/>
      <c r="L101" s="222" t="e">
        <f t="shared" si="2"/>
        <v>#REF!</v>
      </c>
      <c r="M101" s="227"/>
      <c r="N101" s="224"/>
      <c r="O101" s="192"/>
      <c r="P101" s="211">
        <f t="shared" si="3"/>
        <v>0</v>
      </c>
      <c r="Q101" s="226"/>
      <c r="R101" s="226"/>
      <c r="S101" s="211"/>
      <c r="T101" s="139"/>
      <c r="U101" s="139"/>
      <c r="V101" s="225"/>
      <c r="W101" s="211"/>
      <c r="X101" s="211"/>
      <c r="Y101" s="226"/>
      <c r="Z101" s="226"/>
      <c r="AA101" s="226"/>
    </row>
    <row r="102" s="106" customFormat="1" ht="24" customHeight="1" spans="1:27">
      <c r="A102" s="212"/>
      <c r="B102" s="213"/>
      <c r="C102" s="214"/>
      <c r="D102" s="215"/>
      <c r="E102" s="216" t="str">
        <f>IF(D102="","",VLOOKUP(D102,'[4]Account Code'!$A$3:$D$272,2,0))</f>
        <v/>
      </c>
      <c r="F102" s="217"/>
      <c r="G102" s="232"/>
      <c r="H102" s="228"/>
      <c r="I102" s="219">
        <f>IFERROR(VLOOKUP(O102,[4]CREDITORS!A:B,2,0),"")</f>
        <v>0</v>
      </c>
      <c r="J102" s="221"/>
      <c r="K102" s="221"/>
      <c r="L102" s="222" t="e">
        <f t="shared" si="2"/>
        <v>#REF!</v>
      </c>
      <c r="M102" s="227"/>
      <c r="N102" s="224"/>
      <c r="O102" s="192"/>
      <c r="P102" s="211">
        <f t="shared" si="3"/>
        <v>0</v>
      </c>
      <c r="Q102" s="226"/>
      <c r="R102" s="226"/>
      <c r="S102" s="211"/>
      <c r="T102" s="139"/>
      <c r="U102" s="139"/>
      <c r="V102" s="225"/>
      <c r="W102" s="211"/>
      <c r="X102" s="211"/>
      <c r="Y102" s="226"/>
      <c r="Z102" s="226"/>
      <c r="AA102" s="226"/>
    </row>
    <row r="103" s="106" customFormat="1" ht="24" customHeight="1" spans="1:27">
      <c r="A103" s="212"/>
      <c r="B103" s="213"/>
      <c r="C103" s="241"/>
      <c r="D103" s="240"/>
      <c r="E103" s="216" t="str">
        <f>IF(D103="","",VLOOKUP(D103,'[4]Account Code'!$A$3:$D$272,2,0))</f>
        <v/>
      </c>
      <c r="F103" s="217"/>
      <c r="G103" s="228"/>
      <c r="H103" s="228"/>
      <c r="I103" s="219">
        <f>IFERROR(VLOOKUP(O103,[4]CREDITORS!A:B,2,0),"")</f>
        <v>0</v>
      </c>
      <c r="J103" s="221"/>
      <c r="K103" s="221"/>
      <c r="L103" s="222" t="e">
        <f t="shared" si="2"/>
        <v>#REF!</v>
      </c>
      <c r="M103" s="227"/>
      <c r="N103" s="224"/>
      <c r="O103" s="192"/>
      <c r="P103" s="211">
        <f t="shared" si="3"/>
        <v>0</v>
      </c>
      <c r="Q103" s="226"/>
      <c r="R103" s="226"/>
      <c r="S103" s="139"/>
      <c r="T103" s="139"/>
      <c r="U103" s="139"/>
      <c r="V103" s="225"/>
      <c r="W103" s="211"/>
      <c r="X103" s="211"/>
      <c r="Y103" s="226"/>
      <c r="Z103" s="226"/>
      <c r="AA103" s="226"/>
    </row>
    <row r="104" s="106" customFormat="1" ht="24" customHeight="1" spans="1:27">
      <c r="A104" s="212"/>
      <c r="B104" s="213"/>
      <c r="C104" s="214"/>
      <c r="D104" s="215"/>
      <c r="E104" s="216" t="str">
        <f>IF(D104="","",VLOOKUP(D104,'[4]Account Code'!$A$3:$D$272,2,0))</f>
        <v/>
      </c>
      <c r="F104" s="217"/>
      <c r="G104" s="232"/>
      <c r="H104" s="228"/>
      <c r="I104" s="219">
        <f>IFERROR(VLOOKUP(O104,[4]CREDITORS!A:B,2,0),"")</f>
        <v>0</v>
      </c>
      <c r="J104" s="221"/>
      <c r="K104" s="221"/>
      <c r="L104" s="222" t="e">
        <f t="shared" si="2"/>
        <v>#REF!</v>
      </c>
      <c r="M104" s="227"/>
      <c r="N104" s="224"/>
      <c r="O104" s="192"/>
      <c r="P104" s="211">
        <f t="shared" si="3"/>
        <v>0</v>
      </c>
      <c r="Q104" s="226"/>
      <c r="R104" s="226"/>
      <c r="S104" s="211"/>
      <c r="T104" s="139"/>
      <c r="U104" s="139"/>
      <c r="V104" s="225"/>
      <c r="W104" s="211"/>
      <c r="X104" s="211"/>
      <c r="Y104" s="226"/>
      <c r="Z104" s="226"/>
      <c r="AA104" s="226"/>
    </row>
    <row r="105" s="106" customFormat="1" ht="24" customHeight="1" spans="1:27">
      <c r="A105" s="212"/>
      <c r="B105" s="213"/>
      <c r="C105" s="214"/>
      <c r="D105" s="215"/>
      <c r="E105" s="216" t="str">
        <f>IF(D105="","",VLOOKUP(D105,'[4]Account Code'!$A$3:$D$272,2,0))</f>
        <v/>
      </c>
      <c r="F105" s="217"/>
      <c r="G105" s="228"/>
      <c r="H105" s="228"/>
      <c r="I105" s="219">
        <f>IFERROR(VLOOKUP(O105,[4]CREDITORS!A:B,2,0),"")</f>
        <v>0</v>
      </c>
      <c r="J105" s="221"/>
      <c r="K105" s="221"/>
      <c r="L105" s="222" t="e">
        <f t="shared" si="2"/>
        <v>#REF!</v>
      </c>
      <c r="M105" s="227"/>
      <c r="N105" s="224"/>
      <c r="O105" s="192"/>
      <c r="P105" s="211">
        <f t="shared" si="3"/>
        <v>0</v>
      </c>
      <c r="Q105" s="226"/>
      <c r="R105" s="226"/>
      <c r="S105" s="211"/>
      <c r="T105" s="139"/>
      <c r="U105" s="139"/>
      <c r="V105" s="225"/>
      <c r="W105" s="211"/>
      <c r="X105" s="211"/>
      <c r="Y105" s="226"/>
      <c r="Z105" s="226"/>
      <c r="AA105" s="226"/>
    </row>
    <row r="106" s="106" customFormat="1" ht="24" customHeight="1" spans="1:27">
      <c r="A106" s="212"/>
      <c r="B106" s="213"/>
      <c r="C106" s="214"/>
      <c r="D106" s="215"/>
      <c r="E106" s="216" t="str">
        <f>IF(D106="","",VLOOKUP(D106,'[4]Account Code'!$A$3:$D$272,2,0))</f>
        <v/>
      </c>
      <c r="F106" s="217"/>
      <c r="G106" s="228"/>
      <c r="H106" s="228"/>
      <c r="I106" s="219">
        <f>IFERROR(VLOOKUP(O106,[4]CREDITORS!A:B,2,0),"")</f>
        <v>0</v>
      </c>
      <c r="J106" s="221"/>
      <c r="K106" s="221"/>
      <c r="L106" s="222" t="e">
        <f t="shared" si="2"/>
        <v>#REF!</v>
      </c>
      <c r="M106" s="227"/>
      <c r="N106" s="224"/>
      <c r="O106" s="192"/>
      <c r="P106" s="211">
        <f t="shared" si="3"/>
        <v>0</v>
      </c>
      <c r="Q106" s="226"/>
      <c r="R106" s="226"/>
      <c r="S106" s="211"/>
      <c r="T106" s="139"/>
      <c r="U106" s="139"/>
      <c r="V106" s="225"/>
      <c r="W106" s="211"/>
      <c r="X106" s="211"/>
      <c r="Y106" s="226"/>
      <c r="Z106" s="226"/>
      <c r="AA106" s="226"/>
    </row>
    <row r="107" s="106" customFormat="1" ht="24" customHeight="1" spans="1:27">
      <c r="A107" s="212"/>
      <c r="B107" s="213"/>
      <c r="C107" s="214"/>
      <c r="D107" s="215"/>
      <c r="E107" s="216" t="str">
        <f>IF(D107="","",VLOOKUP(D107,'[4]Account Code'!$A$3:$D$272,2,0))</f>
        <v/>
      </c>
      <c r="F107" s="217"/>
      <c r="G107" s="228"/>
      <c r="H107" s="228"/>
      <c r="I107" s="219">
        <f>IFERROR(VLOOKUP(O107,[4]CREDITORS!A:B,2,0),"")</f>
        <v>0</v>
      </c>
      <c r="J107" s="221"/>
      <c r="K107" s="221"/>
      <c r="L107" s="222" t="e">
        <f t="shared" si="2"/>
        <v>#REF!</v>
      </c>
      <c r="M107" s="227"/>
      <c r="N107" s="224"/>
      <c r="O107" s="192"/>
      <c r="P107" s="211">
        <f t="shared" si="3"/>
        <v>0</v>
      </c>
      <c r="Q107" s="226"/>
      <c r="R107" s="226"/>
      <c r="S107" s="211"/>
      <c r="T107" s="211"/>
      <c r="U107" s="211"/>
      <c r="V107" s="225"/>
      <c r="W107" s="211"/>
      <c r="X107" s="211"/>
      <c r="Y107" s="226"/>
      <c r="Z107" s="226"/>
      <c r="AA107" s="226"/>
    </row>
    <row r="108" s="106" customFormat="1" ht="24" customHeight="1" spans="1:27">
      <c r="A108" s="212"/>
      <c r="B108" s="213"/>
      <c r="C108" s="214"/>
      <c r="D108" s="215"/>
      <c r="E108" s="216" t="str">
        <f>IF(D108="","",VLOOKUP(D108,'[4]Account Code'!$A$3:$D$272,2,0))</f>
        <v/>
      </c>
      <c r="F108" s="217"/>
      <c r="G108" s="232"/>
      <c r="H108" s="228"/>
      <c r="I108" s="219">
        <f>IFERROR(VLOOKUP(O108,[4]CREDITORS!A:B,2,0),"")</f>
        <v>0</v>
      </c>
      <c r="J108" s="221"/>
      <c r="K108" s="221"/>
      <c r="L108" s="222" t="e">
        <f t="shared" si="2"/>
        <v>#REF!</v>
      </c>
      <c r="M108" s="227"/>
      <c r="N108" s="224"/>
      <c r="O108" s="192"/>
      <c r="P108" s="211">
        <f t="shared" si="3"/>
        <v>0</v>
      </c>
      <c r="Q108" s="226"/>
      <c r="R108" s="226"/>
      <c r="S108" s="233"/>
      <c r="T108" s="211"/>
      <c r="U108" s="211"/>
      <c r="V108" s="225"/>
      <c r="W108" s="211"/>
      <c r="X108" s="211"/>
      <c r="Y108" s="226"/>
      <c r="Z108" s="226"/>
      <c r="AA108" s="226"/>
    </row>
    <row r="109" s="106" customFormat="1" ht="24" customHeight="1" spans="1:27">
      <c r="A109" s="212"/>
      <c r="B109" s="213"/>
      <c r="C109" s="214"/>
      <c r="D109" s="239"/>
      <c r="E109" s="216" t="str">
        <f>IF(D109="","",VLOOKUP(D109,'[4]Account Code'!$A$3:$D$272,2,0))</f>
        <v/>
      </c>
      <c r="F109" s="217"/>
      <c r="G109" s="232"/>
      <c r="H109" s="228"/>
      <c r="I109" s="219">
        <f>IFERROR(VLOOKUP(O109,[4]CREDITORS!A:B,2,0),"")</f>
        <v>0</v>
      </c>
      <c r="J109" s="221"/>
      <c r="K109" s="221"/>
      <c r="L109" s="222" t="e">
        <f t="shared" si="2"/>
        <v>#REF!</v>
      </c>
      <c r="M109" s="227"/>
      <c r="N109" s="224"/>
      <c r="O109" s="192"/>
      <c r="P109" s="211">
        <f t="shared" si="3"/>
        <v>0</v>
      </c>
      <c r="Q109" s="226"/>
      <c r="R109" s="226"/>
      <c r="S109" s="233"/>
      <c r="T109" s="211"/>
      <c r="U109" s="211"/>
      <c r="V109" s="225"/>
      <c r="W109" s="211"/>
      <c r="X109" s="211"/>
      <c r="Y109" s="226"/>
      <c r="Z109" s="226"/>
      <c r="AA109" s="226"/>
    </row>
    <row r="110" s="106" customFormat="1" ht="24" customHeight="1" spans="1:27">
      <c r="A110" s="212"/>
      <c r="B110" s="213"/>
      <c r="C110" s="214"/>
      <c r="D110" s="215"/>
      <c r="E110" s="216" t="str">
        <f>IF(D110="","",VLOOKUP(D110,'[4]Account Code'!$A$3:$D$272,2,0))</f>
        <v/>
      </c>
      <c r="F110" s="217"/>
      <c r="G110" s="228"/>
      <c r="H110" s="228"/>
      <c r="I110" s="219">
        <f>IFERROR(VLOOKUP(O110,[4]CREDITORS!A:B,2,0),"")</f>
        <v>0</v>
      </c>
      <c r="J110" s="221"/>
      <c r="K110" s="221"/>
      <c r="L110" s="222" t="e">
        <f t="shared" si="2"/>
        <v>#REF!</v>
      </c>
      <c r="M110" s="227"/>
      <c r="N110" s="224"/>
      <c r="O110" s="192"/>
      <c r="P110" s="211">
        <f t="shared" si="3"/>
        <v>0</v>
      </c>
      <c r="Q110" s="226"/>
      <c r="R110" s="226"/>
      <c r="S110" s="211"/>
      <c r="T110" s="139"/>
      <c r="U110" s="139"/>
      <c r="V110" s="225"/>
      <c r="W110" s="211"/>
      <c r="X110" s="211"/>
      <c r="Y110" s="226"/>
      <c r="Z110" s="226"/>
      <c r="AA110" s="226"/>
    </row>
    <row r="111" s="106" customFormat="1" ht="24" customHeight="1" spans="1:27">
      <c r="A111" s="212"/>
      <c r="B111" s="213"/>
      <c r="C111" s="241"/>
      <c r="D111" s="240"/>
      <c r="E111" s="216" t="str">
        <f>IF(D111="","",VLOOKUP(D111,'[4]Account Code'!$A$3:$D$272,2,0))</f>
        <v/>
      </c>
      <c r="F111" s="217"/>
      <c r="G111" s="232"/>
      <c r="H111" s="228"/>
      <c r="I111" s="219">
        <f>IFERROR(VLOOKUP(O111,[4]CREDITORS!A:B,2,0),"")</f>
        <v>0</v>
      </c>
      <c r="J111" s="221"/>
      <c r="K111" s="221"/>
      <c r="L111" s="222" t="e">
        <f t="shared" si="2"/>
        <v>#REF!</v>
      </c>
      <c r="M111" s="227"/>
      <c r="N111" s="224"/>
      <c r="O111" s="192"/>
      <c r="P111" s="211">
        <f t="shared" si="3"/>
        <v>0</v>
      </c>
      <c r="Q111" s="226"/>
      <c r="R111" s="226"/>
      <c r="S111" s="233"/>
      <c r="T111" s="211"/>
      <c r="U111" s="211"/>
      <c r="V111" s="225"/>
      <c r="W111" s="211"/>
      <c r="X111" s="211"/>
      <c r="Y111" s="226"/>
      <c r="Z111" s="226"/>
      <c r="AA111" s="226"/>
    </row>
    <row r="112" s="106" customFormat="1" ht="24" customHeight="1" spans="1:27">
      <c r="A112" s="212"/>
      <c r="B112" s="213"/>
      <c r="C112" s="241"/>
      <c r="D112" s="246"/>
      <c r="E112" s="216" t="str">
        <f>IF(D112="","",VLOOKUP(D112,'[4]Account Code'!$A$3:$D$272,2,0))</f>
        <v/>
      </c>
      <c r="F112" s="217"/>
      <c r="G112" s="247"/>
      <c r="H112" s="247"/>
      <c r="I112" s="219">
        <f>IFERROR(VLOOKUP(O112,[4]CREDITORS!A:B,2,0),"")</f>
        <v>0</v>
      </c>
      <c r="J112" s="229"/>
      <c r="K112" s="221"/>
      <c r="L112" s="222" t="e">
        <f t="shared" si="2"/>
        <v>#REF!</v>
      </c>
      <c r="M112" s="227"/>
      <c r="N112" s="248"/>
      <c r="O112" s="192"/>
      <c r="P112" s="211">
        <f t="shared" si="3"/>
        <v>0</v>
      </c>
      <c r="Q112" s="226"/>
      <c r="R112" s="226"/>
      <c r="S112" s="139"/>
      <c r="T112" s="139"/>
      <c r="U112" s="249"/>
      <c r="V112" s="225"/>
      <c r="W112" s="211"/>
      <c r="X112" s="211"/>
      <c r="Y112" s="226"/>
      <c r="Z112" s="226"/>
      <c r="AA112" s="226"/>
    </row>
    <row r="113" s="106" customFormat="1" ht="24" customHeight="1" spans="1:27">
      <c r="A113" s="212"/>
      <c r="B113" s="213"/>
      <c r="C113" s="241"/>
      <c r="D113" s="239"/>
      <c r="E113" s="216" t="str">
        <f>IF(D113="","",VLOOKUP(D113,'[4]Account Code'!$A$3:$D$272,2,0))</f>
        <v/>
      </c>
      <c r="F113" s="217"/>
      <c r="G113" s="228"/>
      <c r="H113" s="228"/>
      <c r="I113" s="219">
        <f>IFERROR(VLOOKUP(O113,[4]CREDITORS!A:B,2,0),"")</f>
        <v>0</v>
      </c>
      <c r="J113" s="221"/>
      <c r="K113" s="221"/>
      <c r="L113" s="222" t="e">
        <f t="shared" si="2"/>
        <v>#REF!</v>
      </c>
      <c r="M113" s="242"/>
      <c r="N113" s="224"/>
      <c r="O113" s="192"/>
      <c r="P113" s="211">
        <f t="shared" si="3"/>
        <v>0</v>
      </c>
      <c r="Q113" s="226"/>
      <c r="R113" s="226"/>
      <c r="S113" s="211"/>
      <c r="T113" s="139"/>
      <c r="U113" s="139"/>
      <c r="V113" s="225"/>
      <c r="W113" s="211"/>
      <c r="X113" s="211"/>
      <c r="Y113" s="226"/>
      <c r="Z113" s="226"/>
      <c r="AA113" s="226"/>
    </row>
    <row r="114" s="106" customFormat="1" ht="24" customHeight="1" spans="1:27">
      <c r="A114" s="212"/>
      <c r="B114" s="213"/>
      <c r="C114" s="241"/>
      <c r="D114" s="239"/>
      <c r="E114" s="216" t="str">
        <f>IF(D114="","",VLOOKUP(D114,'[4]Account Code'!$A$3:$D$272,2,0))</f>
        <v/>
      </c>
      <c r="F114" s="217"/>
      <c r="G114" s="228"/>
      <c r="H114" s="228"/>
      <c r="I114" s="219">
        <f>IFERROR(VLOOKUP(O114,[4]CREDITORS!A:B,2,0),"")</f>
        <v>0</v>
      </c>
      <c r="J114" s="229"/>
      <c r="K114" s="221"/>
      <c r="L114" s="222" t="e">
        <f t="shared" si="2"/>
        <v>#REF!</v>
      </c>
      <c r="M114" s="227"/>
      <c r="N114" s="224"/>
      <c r="O114" s="192"/>
      <c r="P114" s="211">
        <f t="shared" si="3"/>
        <v>0</v>
      </c>
      <c r="Q114" s="226"/>
      <c r="R114" s="226"/>
      <c r="S114" s="211"/>
      <c r="T114" s="139"/>
      <c r="U114" s="139"/>
      <c r="V114" s="225"/>
      <c r="W114" s="211"/>
      <c r="X114" s="211"/>
      <c r="Y114" s="226"/>
      <c r="Z114" s="226"/>
      <c r="AA114" s="226"/>
    </row>
    <row r="115" s="106" customFormat="1" ht="24" customHeight="1" spans="1:27">
      <c r="A115" s="212"/>
      <c r="B115" s="213"/>
      <c r="C115" s="241"/>
      <c r="D115" s="239"/>
      <c r="E115" s="216" t="str">
        <f>IF(D115="","",VLOOKUP(D115,'[4]Account Code'!$A$3:$D$272,2,0))</f>
        <v/>
      </c>
      <c r="F115" s="217"/>
      <c r="G115" s="228"/>
      <c r="H115" s="228"/>
      <c r="I115" s="219">
        <f>IFERROR(VLOOKUP(O115,[4]CREDITORS!A:B,2,0),"")</f>
        <v>0</v>
      </c>
      <c r="J115" s="221"/>
      <c r="K115" s="221"/>
      <c r="L115" s="222" t="e">
        <f t="shared" si="2"/>
        <v>#REF!</v>
      </c>
      <c r="M115" s="227"/>
      <c r="N115" s="224"/>
      <c r="O115" s="192"/>
      <c r="P115" s="211">
        <f t="shared" si="3"/>
        <v>0</v>
      </c>
      <c r="Q115" s="226"/>
      <c r="R115" s="226"/>
      <c r="S115" s="211"/>
      <c r="T115" s="139"/>
      <c r="U115" s="139"/>
      <c r="V115" s="225"/>
      <c r="W115" s="211"/>
      <c r="X115" s="211"/>
      <c r="Y115" s="226"/>
      <c r="Z115" s="226"/>
      <c r="AA115" s="226"/>
    </row>
    <row r="116" s="106" customFormat="1" ht="24" customHeight="1" spans="1:27">
      <c r="A116" s="212"/>
      <c r="B116" s="213"/>
      <c r="C116" s="241"/>
      <c r="D116" s="239"/>
      <c r="E116" s="216" t="str">
        <f>IF(D116="","",VLOOKUP(D116,'[4]Account Code'!$A$3:$D$272,2,0))</f>
        <v/>
      </c>
      <c r="F116" s="217"/>
      <c r="G116" s="228"/>
      <c r="H116" s="228"/>
      <c r="I116" s="219">
        <f>IFERROR(VLOOKUP(O116,[4]CREDITORS!A:B,2,0),"")</f>
        <v>0</v>
      </c>
      <c r="J116" s="221"/>
      <c r="K116" s="221"/>
      <c r="L116" s="222" t="e">
        <f t="shared" si="2"/>
        <v>#REF!</v>
      </c>
      <c r="M116" s="227"/>
      <c r="N116" s="224"/>
      <c r="O116" s="244"/>
      <c r="P116" s="211">
        <f t="shared" si="3"/>
        <v>0</v>
      </c>
      <c r="Q116" s="226"/>
      <c r="R116" s="226"/>
      <c r="S116" s="211"/>
      <c r="T116" s="139"/>
      <c r="U116" s="139"/>
      <c r="V116" s="225"/>
      <c r="W116" s="211"/>
      <c r="X116" s="211"/>
      <c r="Y116" s="226"/>
      <c r="Z116" s="226"/>
      <c r="AA116" s="226"/>
    </row>
    <row r="117" s="106" customFormat="1" ht="24" customHeight="1" spans="1:27">
      <c r="A117" s="212"/>
      <c r="B117" s="213"/>
      <c r="C117" s="241"/>
      <c r="D117" s="239"/>
      <c r="E117" s="216" t="str">
        <f>IF(D117="","",VLOOKUP(D117,'[4]Account Code'!$A$3:$D$272,2,0))</f>
        <v/>
      </c>
      <c r="F117" s="217"/>
      <c r="G117" s="228"/>
      <c r="H117" s="228"/>
      <c r="I117" s="219">
        <f>IFERROR(VLOOKUP(O117,[4]CREDITORS!A:B,2,0),"")</f>
        <v>0</v>
      </c>
      <c r="J117" s="221"/>
      <c r="K117" s="221"/>
      <c r="L117" s="222" t="e">
        <f t="shared" si="2"/>
        <v>#REF!</v>
      </c>
      <c r="M117" s="227"/>
      <c r="N117" s="224"/>
      <c r="O117" s="244"/>
      <c r="P117" s="211">
        <f t="shared" si="3"/>
        <v>0</v>
      </c>
      <c r="Q117" s="226"/>
      <c r="R117" s="226"/>
      <c r="S117" s="211"/>
      <c r="T117" s="139"/>
      <c r="U117" s="139"/>
      <c r="V117" s="225"/>
      <c r="W117" s="211"/>
      <c r="X117" s="211"/>
      <c r="Y117" s="226"/>
      <c r="Z117" s="226"/>
      <c r="AA117" s="226"/>
    </row>
    <row r="118" s="106" customFormat="1" ht="24" customHeight="1" spans="1:27">
      <c r="A118" s="212"/>
      <c r="B118" s="213"/>
      <c r="C118" s="241"/>
      <c r="D118" s="239"/>
      <c r="E118" s="216" t="str">
        <f>IF(D118="","",VLOOKUP(D118,'[4]Account Code'!$A$3:$D$272,2,0))</f>
        <v/>
      </c>
      <c r="F118" s="217"/>
      <c r="G118" s="232"/>
      <c r="H118" s="228"/>
      <c r="I118" s="219">
        <f>IFERROR(VLOOKUP(O118,[4]CREDITORS!A:B,2,0),"")</f>
        <v>0</v>
      </c>
      <c r="J118" s="221"/>
      <c r="K118" s="221"/>
      <c r="L118" s="222" t="e">
        <f t="shared" si="2"/>
        <v>#REF!</v>
      </c>
      <c r="M118" s="227"/>
      <c r="N118" s="224"/>
      <c r="O118" s="244"/>
      <c r="P118" s="211">
        <f t="shared" si="3"/>
        <v>0</v>
      </c>
      <c r="Q118" s="226"/>
      <c r="R118" s="226"/>
      <c r="S118" s="211"/>
      <c r="T118" s="139"/>
      <c r="U118" s="139"/>
      <c r="V118" s="225"/>
      <c r="W118" s="211"/>
      <c r="X118" s="211"/>
      <c r="Y118" s="226"/>
      <c r="Z118" s="226"/>
      <c r="AA118" s="226"/>
    </row>
    <row r="119" s="106" customFormat="1" ht="24" customHeight="1" spans="1:27">
      <c r="A119" s="212"/>
      <c r="B119" s="213"/>
      <c r="C119" s="241"/>
      <c r="D119" s="239"/>
      <c r="E119" s="216" t="str">
        <f>IF(D119="","",VLOOKUP(D119,'[4]Account Code'!$A$3:$D$272,2,0))</f>
        <v/>
      </c>
      <c r="F119" s="217"/>
      <c r="G119" s="228"/>
      <c r="H119" s="228"/>
      <c r="I119" s="219">
        <f>IFERROR(VLOOKUP(O119,[4]CREDITORS!A:B,2,0),"")</f>
        <v>0</v>
      </c>
      <c r="J119" s="221"/>
      <c r="K119" s="250"/>
      <c r="L119" s="222" t="e">
        <f t="shared" si="2"/>
        <v>#REF!</v>
      </c>
      <c r="M119" s="227"/>
      <c r="N119" s="224"/>
      <c r="O119" s="244"/>
      <c r="P119" s="211">
        <f t="shared" si="3"/>
        <v>0</v>
      </c>
      <c r="Q119" s="226"/>
      <c r="R119" s="226"/>
      <c r="S119" s="211"/>
      <c r="T119" s="139"/>
      <c r="U119" s="139"/>
      <c r="V119" s="225"/>
      <c r="W119" s="211"/>
      <c r="X119" s="211"/>
      <c r="Y119" s="226"/>
      <c r="Z119" s="226"/>
      <c r="AA119" s="226"/>
    </row>
    <row r="120" s="106" customFormat="1" ht="24" customHeight="1" spans="1:27">
      <c r="A120" s="212"/>
      <c r="B120" s="213"/>
      <c r="C120" s="241"/>
      <c r="D120" s="239"/>
      <c r="E120" s="216" t="str">
        <f>IF(D120="","",VLOOKUP(D120,'[4]Account Code'!$A$3:$D$272,2,0))</f>
        <v/>
      </c>
      <c r="F120" s="217"/>
      <c r="G120" s="232"/>
      <c r="H120" s="228"/>
      <c r="I120" s="219">
        <f>IFERROR(VLOOKUP(O120,[4]CREDITORS!A:B,2,0),"")</f>
        <v>0</v>
      </c>
      <c r="J120" s="221"/>
      <c r="K120" s="221"/>
      <c r="L120" s="222" t="e">
        <f t="shared" si="2"/>
        <v>#REF!</v>
      </c>
      <c r="M120" s="227"/>
      <c r="N120" s="224"/>
      <c r="O120" s="244"/>
      <c r="P120" s="211">
        <f t="shared" si="3"/>
        <v>0</v>
      </c>
      <c r="Q120" s="226"/>
      <c r="R120" s="226"/>
      <c r="S120" s="211"/>
      <c r="T120" s="139"/>
      <c r="U120" s="139"/>
      <c r="V120" s="225"/>
      <c r="W120" s="211"/>
      <c r="X120" s="211"/>
      <c r="Y120" s="226"/>
      <c r="Z120" s="226"/>
      <c r="AA120" s="226"/>
    </row>
    <row r="121" s="106" customFormat="1" ht="24" customHeight="1" spans="1:27">
      <c r="A121" s="212"/>
      <c r="B121" s="213"/>
      <c r="C121" s="241"/>
      <c r="D121" s="239"/>
      <c r="E121" s="216" t="str">
        <f>IF(D121="","",VLOOKUP(D121,'[4]Account Code'!$A$3:$D$272,2,0))</f>
        <v/>
      </c>
      <c r="F121" s="217"/>
      <c r="G121" s="228"/>
      <c r="H121" s="228"/>
      <c r="I121" s="219">
        <f>IFERROR(VLOOKUP(O121,[4]CREDITORS!A:B,2,0),"")</f>
        <v>0</v>
      </c>
      <c r="J121" s="221"/>
      <c r="K121" s="221"/>
      <c r="L121" s="222" t="e">
        <f t="shared" si="2"/>
        <v>#REF!</v>
      </c>
      <c r="M121" s="227"/>
      <c r="N121" s="224"/>
      <c r="O121" s="244"/>
      <c r="P121" s="211">
        <f t="shared" si="3"/>
        <v>0</v>
      </c>
      <c r="Q121" s="226"/>
      <c r="R121" s="226"/>
      <c r="S121" s="211"/>
      <c r="T121" s="139"/>
      <c r="U121" s="139"/>
      <c r="V121" s="225"/>
      <c r="W121" s="211"/>
      <c r="X121" s="211"/>
      <c r="Y121" s="226"/>
      <c r="Z121" s="226"/>
      <c r="AA121" s="226"/>
    </row>
    <row r="122" s="106" customFormat="1" ht="24" customHeight="1" spans="1:27">
      <c r="A122" s="212"/>
      <c r="B122" s="213"/>
      <c r="C122" s="241"/>
      <c r="D122" s="239"/>
      <c r="E122" s="216" t="str">
        <f>IF(D122="","",VLOOKUP(D122,'[4]Account Code'!$A$3:$D$272,2,0))</f>
        <v/>
      </c>
      <c r="F122" s="217"/>
      <c r="G122" s="228"/>
      <c r="H122" s="228"/>
      <c r="I122" s="219">
        <f>IFERROR(VLOOKUP(O122,[4]CREDITORS!A:B,2,0),"")</f>
        <v>0</v>
      </c>
      <c r="J122" s="221"/>
      <c r="K122" s="250"/>
      <c r="L122" s="222" t="e">
        <f t="shared" si="2"/>
        <v>#REF!</v>
      </c>
      <c r="M122" s="227"/>
      <c r="N122" s="224"/>
      <c r="O122" s="244"/>
      <c r="P122" s="211">
        <f t="shared" si="3"/>
        <v>0</v>
      </c>
      <c r="Q122" s="226"/>
      <c r="R122" s="226"/>
      <c r="S122" s="211"/>
      <c r="T122" s="139"/>
      <c r="U122" s="139"/>
      <c r="V122" s="225"/>
      <c r="W122" s="211"/>
      <c r="X122" s="211"/>
      <c r="Y122" s="226"/>
      <c r="Z122" s="226"/>
      <c r="AA122" s="226"/>
    </row>
    <row r="123" s="106" customFormat="1" ht="24" customHeight="1" spans="1:27">
      <c r="A123" s="212"/>
      <c r="B123" s="213"/>
      <c r="C123" s="241"/>
      <c r="D123" s="239"/>
      <c r="E123" s="216" t="str">
        <f>IF(D123="","",VLOOKUP(D123,'[4]Account Code'!$A$3:$D$272,2,0))</f>
        <v/>
      </c>
      <c r="F123" s="217"/>
      <c r="G123" s="228"/>
      <c r="H123" s="228"/>
      <c r="I123" s="219">
        <f>IFERROR(VLOOKUP(O123,[4]CREDITORS!A:B,2,0),"")</f>
        <v>0</v>
      </c>
      <c r="J123" s="221"/>
      <c r="K123" s="221"/>
      <c r="L123" s="222" t="e">
        <f t="shared" si="2"/>
        <v>#REF!</v>
      </c>
      <c r="M123" s="251"/>
      <c r="N123" s="224"/>
      <c r="O123" s="244"/>
      <c r="P123" s="211">
        <f t="shared" si="3"/>
        <v>0</v>
      </c>
      <c r="Q123" s="252"/>
      <c r="R123" s="226"/>
      <c r="S123" s="211"/>
      <c r="T123" s="139"/>
      <c r="U123" s="139"/>
      <c r="V123" s="225"/>
      <c r="W123" s="211"/>
      <c r="X123" s="211"/>
      <c r="Y123" s="226"/>
      <c r="Z123" s="226"/>
      <c r="AA123" s="226"/>
    </row>
    <row r="124" s="106" customFormat="1" ht="24" customHeight="1" spans="1:27">
      <c r="A124" s="212"/>
      <c r="B124" s="213"/>
      <c r="C124" s="241"/>
      <c r="D124" s="239"/>
      <c r="E124" s="216" t="str">
        <f>IF(D124="","",VLOOKUP(D124,'[4]Account Code'!$A$3:$D$272,2,0))</f>
        <v/>
      </c>
      <c r="F124" s="217"/>
      <c r="G124" s="228"/>
      <c r="H124" s="228"/>
      <c r="I124" s="219">
        <f>IFERROR(VLOOKUP(O124,[4]CREDITORS!A:B,2,0),"")</f>
        <v>0</v>
      </c>
      <c r="J124" s="221"/>
      <c r="K124" s="221"/>
      <c r="L124" s="222" t="e">
        <f t="shared" si="2"/>
        <v>#REF!</v>
      </c>
      <c r="M124" s="227"/>
      <c r="N124" s="224"/>
      <c r="O124" s="244"/>
      <c r="P124" s="211">
        <f t="shared" si="3"/>
        <v>0</v>
      </c>
      <c r="Q124" s="226"/>
      <c r="R124" s="226"/>
      <c r="S124" s="211"/>
      <c r="T124" s="139"/>
      <c r="U124" s="139"/>
      <c r="V124" s="225"/>
      <c r="W124" s="211"/>
      <c r="X124" s="211"/>
      <c r="Y124" s="226"/>
      <c r="Z124" s="226"/>
      <c r="AA124" s="226"/>
    </row>
    <row r="125" s="106" customFormat="1" ht="24" customHeight="1" spans="1:27">
      <c r="A125" s="212"/>
      <c r="B125" s="213"/>
      <c r="C125" s="214"/>
      <c r="D125" s="239"/>
      <c r="E125" s="216" t="str">
        <f>IF(D125="","",VLOOKUP(D125,'[4]Account Code'!$A$3:$D$272,2,0))</f>
        <v/>
      </c>
      <c r="F125" s="253"/>
      <c r="G125" s="232"/>
      <c r="H125" s="228"/>
      <c r="I125" s="219">
        <f>IFERROR(VLOOKUP(O125,[4]CREDITORS!A:B,2,0),"")</f>
        <v>0</v>
      </c>
      <c r="J125" s="221"/>
      <c r="K125" s="221"/>
      <c r="L125" s="222" t="e">
        <f t="shared" si="2"/>
        <v>#REF!</v>
      </c>
      <c r="M125" s="227"/>
      <c r="N125" s="224"/>
      <c r="O125" s="192"/>
      <c r="P125" s="211">
        <f t="shared" si="3"/>
        <v>0</v>
      </c>
      <c r="Q125" s="226"/>
      <c r="R125" s="226"/>
      <c r="S125" s="233"/>
      <c r="T125" s="211"/>
      <c r="U125" s="211"/>
      <c r="V125" s="226"/>
      <c r="W125" s="211"/>
      <c r="X125" s="211"/>
      <c r="Y125" s="226"/>
      <c r="Z125" s="226"/>
      <c r="AA125" s="226"/>
    </row>
    <row r="126" s="106" customFormat="1" ht="24" customHeight="1" spans="1:27">
      <c r="A126" s="212"/>
      <c r="B126" s="213"/>
      <c r="C126" s="241"/>
      <c r="D126" s="239"/>
      <c r="E126" s="216" t="str">
        <f>IF(D126="","",VLOOKUP(D126,'[4]Account Code'!$A$3:$D$272,2,0))</f>
        <v/>
      </c>
      <c r="F126" s="217"/>
      <c r="G126" s="228"/>
      <c r="H126" s="228"/>
      <c r="I126" s="219">
        <f>IFERROR(VLOOKUP(O126,[4]CREDITORS!A:B,2,0),"")</f>
        <v>0</v>
      </c>
      <c r="J126" s="221"/>
      <c r="K126" s="221"/>
      <c r="L126" s="222" t="e">
        <f t="shared" si="2"/>
        <v>#REF!</v>
      </c>
      <c r="M126" s="227"/>
      <c r="N126" s="224"/>
      <c r="O126" s="244"/>
      <c r="P126" s="211">
        <f t="shared" si="3"/>
        <v>0</v>
      </c>
      <c r="Q126" s="226"/>
      <c r="R126" s="226"/>
      <c r="S126" s="211"/>
      <c r="T126" s="139"/>
      <c r="U126" s="139"/>
      <c r="V126" s="225"/>
      <c r="W126" s="211"/>
      <c r="X126" s="211"/>
      <c r="Y126" s="226"/>
      <c r="Z126" s="226"/>
      <c r="AA126" s="226"/>
    </row>
    <row r="127" s="106" customFormat="1" ht="24" customHeight="1" spans="1:27">
      <c r="A127" s="212"/>
      <c r="B127" s="213"/>
      <c r="C127" s="241"/>
      <c r="D127" s="240"/>
      <c r="E127" s="216" t="str">
        <f>IF(D127="","",VLOOKUP(D127,'[4]Account Code'!$A$3:$D$272,2,0))</f>
        <v/>
      </c>
      <c r="F127" s="217"/>
      <c r="G127" s="232"/>
      <c r="H127" s="228"/>
      <c r="I127" s="219">
        <f>IFERROR(VLOOKUP(O127,[4]CREDITORS!A:B,2,0),"")</f>
        <v>0</v>
      </c>
      <c r="J127" s="221"/>
      <c r="K127" s="221"/>
      <c r="L127" s="222" t="e">
        <f t="shared" si="2"/>
        <v>#REF!</v>
      </c>
      <c r="M127" s="227"/>
      <c r="N127" s="224"/>
      <c r="O127" s="192"/>
      <c r="P127" s="211">
        <f t="shared" si="3"/>
        <v>0</v>
      </c>
      <c r="Q127" s="226"/>
      <c r="R127" s="226"/>
      <c r="S127" s="211"/>
      <c r="T127" s="211"/>
      <c r="U127" s="211"/>
      <c r="V127" s="225"/>
      <c r="W127" s="211"/>
      <c r="X127" s="211"/>
      <c r="Y127" s="226"/>
      <c r="Z127" s="226"/>
      <c r="AA127" s="226"/>
    </row>
    <row r="128" s="106" customFormat="1" ht="24" customHeight="1" spans="1:27">
      <c r="A128" s="212"/>
      <c r="B128" s="213"/>
      <c r="C128" s="241"/>
      <c r="D128" s="240"/>
      <c r="E128" s="216" t="str">
        <f>IF(D128="","",VLOOKUP(D128,'[4]Account Code'!$A$3:$D$272,2,0))</f>
        <v/>
      </c>
      <c r="F128" s="217"/>
      <c r="G128" s="228"/>
      <c r="H128" s="228"/>
      <c r="I128" s="219">
        <f>IFERROR(VLOOKUP(O128,[4]CREDITORS!A:B,2,0),"")</f>
        <v>0</v>
      </c>
      <c r="J128" s="221"/>
      <c r="K128" s="221"/>
      <c r="L128" s="222" t="e">
        <f t="shared" si="2"/>
        <v>#REF!</v>
      </c>
      <c r="M128" s="227"/>
      <c r="N128" s="224"/>
      <c r="O128" s="192"/>
      <c r="P128" s="211">
        <f t="shared" si="3"/>
        <v>0</v>
      </c>
      <c r="Q128" s="226"/>
      <c r="R128" s="226"/>
      <c r="S128" s="211"/>
      <c r="T128" s="211"/>
      <c r="U128" s="211"/>
      <c r="V128" s="225"/>
      <c r="W128" s="211"/>
      <c r="X128" s="211"/>
      <c r="Y128" s="226"/>
      <c r="Z128" s="226"/>
      <c r="AA128" s="226"/>
    </row>
    <row r="129" s="106" customFormat="1" ht="24" customHeight="1" spans="1:27">
      <c r="A129" s="212"/>
      <c r="B129" s="213"/>
      <c r="C129" s="241"/>
      <c r="D129" s="240"/>
      <c r="E129" s="216" t="str">
        <f>IF(D129="","",VLOOKUP(D129,'[4]Account Code'!$A$3:$D$272,2,0))</f>
        <v/>
      </c>
      <c r="F129" s="217"/>
      <c r="G129" s="232"/>
      <c r="H129" s="228"/>
      <c r="I129" s="219">
        <f>IFERROR(VLOOKUP(O129,[4]CREDITORS!A:B,2,0),"")</f>
        <v>0</v>
      </c>
      <c r="J129" s="221"/>
      <c r="K129" s="221"/>
      <c r="L129" s="222" t="e">
        <f t="shared" si="2"/>
        <v>#REF!</v>
      </c>
      <c r="M129" s="227"/>
      <c r="N129" s="224"/>
      <c r="O129" s="192"/>
      <c r="P129" s="211">
        <f t="shared" si="3"/>
        <v>0</v>
      </c>
      <c r="Q129" s="226"/>
      <c r="R129" s="226"/>
      <c r="S129" s="211"/>
      <c r="T129" s="211"/>
      <c r="U129" s="211"/>
      <c r="V129" s="225"/>
      <c r="W129" s="211"/>
      <c r="X129" s="211"/>
      <c r="Y129" s="226"/>
      <c r="Z129" s="226"/>
      <c r="AA129" s="226"/>
    </row>
    <row r="130" s="106" customFormat="1" ht="24" customHeight="1" spans="1:27">
      <c r="A130" s="212"/>
      <c r="B130" s="213"/>
      <c r="C130" s="241"/>
      <c r="D130" s="245"/>
      <c r="E130" s="216" t="str">
        <f>IF(D130="","",VLOOKUP(D130,'[4]Account Code'!$A$3:$D$272,2,0))</f>
        <v/>
      </c>
      <c r="F130" s="217"/>
      <c r="G130" s="228"/>
      <c r="H130" s="228"/>
      <c r="I130" s="219">
        <f>IFERROR(VLOOKUP(O130,[4]CREDITORS!A:B,2,0),"")</f>
        <v>0</v>
      </c>
      <c r="J130" s="221"/>
      <c r="K130" s="221"/>
      <c r="L130" s="222" t="e">
        <f t="shared" si="2"/>
        <v>#REF!</v>
      </c>
      <c r="M130" s="227"/>
      <c r="N130" s="224"/>
      <c r="O130" s="192"/>
      <c r="P130" s="211">
        <f t="shared" si="3"/>
        <v>0</v>
      </c>
      <c r="Q130" s="226"/>
      <c r="R130" s="226"/>
      <c r="S130" s="211"/>
      <c r="T130" s="211"/>
      <c r="U130" s="211"/>
      <c r="V130" s="225"/>
      <c r="W130" s="211"/>
      <c r="X130" s="211"/>
      <c r="Y130" s="226"/>
      <c r="Z130" s="226"/>
      <c r="AA130" s="226"/>
    </row>
    <row r="131" s="106" customFormat="1" ht="24" customHeight="1" spans="1:27">
      <c r="A131" s="212"/>
      <c r="B131" s="213"/>
      <c r="C131" s="241"/>
      <c r="D131" s="240"/>
      <c r="E131" s="216" t="str">
        <f>IF(D131="","",VLOOKUP(D131,'[4]Account Code'!$A$3:$D$272,2,0))</f>
        <v/>
      </c>
      <c r="F131" s="217"/>
      <c r="G131" s="232"/>
      <c r="H131" s="228"/>
      <c r="I131" s="219">
        <f>IFERROR(VLOOKUP(O131,[4]CREDITORS!A:B,2,0),"")</f>
        <v>0</v>
      </c>
      <c r="J131" s="221"/>
      <c r="K131" s="221"/>
      <c r="L131" s="222" t="e">
        <f t="shared" si="2"/>
        <v>#REF!</v>
      </c>
      <c r="M131" s="227"/>
      <c r="N131" s="224"/>
      <c r="O131" s="192"/>
      <c r="P131" s="211">
        <f t="shared" si="3"/>
        <v>0</v>
      </c>
      <c r="Q131" s="226"/>
      <c r="R131" s="226"/>
      <c r="S131" s="211"/>
      <c r="T131" s="211"/>
      <c r="U131" s="211"/>
      <c r="V131" s="225"/>
      <c r="W131" s="211"/>
      <c r="X131" s="211"/>
      <c r="Y131" s="226"/>
      <c r="Z131" s="226"/>
      <c r="AA131" s="226"/>
    </row>
    <row r="132" s="106" customFormat="1" ht="24" customHeight="1" spans="1:27">
      <c r="A132" s="212"/>
      <c r="B132" s="213"/>
      <c r="C132" s="241"/>
      <c r="D132" s="245"/>
      <c r="E132" s="216" t="str">
        <f>IF(D132="","",VLOOKUP(D132,'[4]Account Code'!$A$3:$D$272,2,0))</f>
        <v/>
      </c>
      <c r="F132" s="217"/>
      <c r="G132" s="228"/>
      <c r="H132" s="228"/>
      <c r="I132" s="219">
        <f>IFERROR(VLOOKUP(O132,[4]CREDITORS!A:B,2,0),"")</f>
        <v>0</v>
      </c>
      <c r="J132" s="221"/>
      <c r="K132" s="221"/>
      <c r="L132" s="222" t="e">
        <f t="shared" si="2"/>
        <v>#REF!</v>
      </c>
      <c r="M132" s="227"/>
      <c r="N132" s="224"/>
      <c r="O132" s="192"/>
      <c r="P132" s="211">
        <f t="shared" si="3"/>
        <v>0</v>
      </c>
      <c r="Q132" s="226"/>
      <c r="R132" s="226"/>
      <c r="S132" s="211"/>
      <c r="T132" s="211"/>
      <c r="U132" s="211"/>
      <c r="V132" s="225"/>
      <c r="W132" s="211"/>
      <c r="X132" s="211"/>
      <c r="Y132" s="226"/>
      <c r="Z132" s="226"/>
      <c r="AA132" s="226"/>
    </row>
    <row r="133" s="106" customFormat="1" ht="24" customHeight="1" spans="1:27">
      <c r="A133" s="212"/>
      <c r="B133" s="213"/>
      <c r="C133" s="241"/>
      <c r="D133" s="240"/>
      <c r="E133" s="216" t="str">
        <f>IF(D133="","",VLOOKUP(D133,'[4]Account Code'!$A$3:$D$272,2,0))</f>
        <v/>
      </c>
      <c r="F133" s="217"/>
      <c r="G133" s="232"/>
      <c r="H133" s="228"/>
      <c r="I133" s="219">
        <f>IFERROR(VLOOKUP(O133,[4]CREDITORS!A:B,2,0),"")</f>
        <v>0</v>
      </c>
      <c r="J133" s="221"/>
      <c r="K133" s="221"/>
      <c r="L133" s="222" t="e">
        <f t="shared" si="2"/>
        <v>#REF!</v>
      </c>
      <c r="M133" s="227"/>
      <c r="N133" s="224"/>
      <c r="O133" s="192"/>
      <c r="P133" s="211">
        <f t="shared" si="3"/>
        <v>0</v>
      </c>
      <c r="Q133" s="226"/>
      <c r="R133" s="226"/>
      <c r="S133" s="211"/>
      <c r="T133" s="211"/>
      <c r="U133" s="211"/>
      <c r="V133" s="225"/>
      <c r="W133" s="211"/>
      <c r="X133" s="211"/>
      <c r="Y133" s="226"/>
      <c r="Z133" s="226"/>
      <c r="AA133" s="226"/>
    </row>
    <row r="134" s="106" customFormat="1" ht="24" customHeight="1" spans="1:27">
      <c r="A134" s="212"/>
      <c r="B134" s="213"/>
      <c r="C134" s="241"/>
      <c r="D134" s="254"/>
      <c r="E134" s="216" t="str">
        <f>IF(D134="","",VLOOKUP(D134,'[4]Account Code'!$A$3:$D$272,2,0))</f>
        <v/>
      </c>
      <c r="F134" s="217"/>
      <c r="G134" s="228"/>
      <c r="H134" s="228"/>
      <c r="I134" s="219">
        <f>IFERROR(VLOOKUP(O134,[4]CREDITORS!A:B,2,0),"")</f>
        <v>0</v>
      </c>
      <c r="J134" s="221"/>
      <c r="K134" s="221"/>
      <c r="L134" s="222" t="e">
        <f t="shared" si="2"/>
        <v>#REF!</v>
      </c>
      <c r="M134" s="227"/>
      <c r="N134" s="224"/>
      <c r="O134" s="192"/>
      <c r="P134" s="211">
        <f t="shared" si="3"/>
        <v>0</v>
      </c>
      <c r="Q134" s="226"/>
      <c r="R134" s="226"/>
      <c r="S134" s="211"/>
      <c r="T134" s="211"/>
      <c r="U134" s="211"/>
      <c r="V134" s="225"/>
      <c r="W134" s="211"/>
      <c r="X134" s="211"/>
      <c r="Y134" s="226"/>
      <c r="Z134" s="226"/>
      <c r="AA134" s="226"/>
    </row>
    <row r="135" s="106" customFormat="1" ht="24" customHeight="1" spans="1:27">
      <c r="A135" s="212"/>
      <c r="B135" s="213"/>
      <c r="C135" s="241"/>
      <c r="D135" s="240"/>
      <c r="E135" s="216" t="str">
        <f>IF(D135="","",VLOOKUP(D135,'[4]Account Code'!$A$3:$D$272,2,0))</f>
        <v/>
      </c>
      <c r="F135" s="217"/>
      <c r="G135" s="228"/>
      <c r="H135" s="228"/>
      <c r="I135" s="219">
        <f>IFERROR(VLOOKUP(O135,[4]CREDITORS!A:B,2,0),"")</f>
        <v>0</v>
      </c>
      <c r="J135" s="221"/>
      <c r="K135" s="221"/>
      <c r="L135" s="222" t="e">
        <f t="shared" si="2"/>
        <v>#REF!</v>
      </c>
      <c r="M135" s="227"/>
      <c r="N135" s="224"/>
      <c r="O135" s="192"/>
      <c r="P135" s="211">
        <f t="shared" si="3"/>
        <v>0</v>
      </c>
      <c r="Q135" s="226"/>
      <c r="R135" s="226"/>
      <c r="S135" s="211"/>
      <c r="T135" s="211"/>
      <c r="U135" s="211"/>
      <c r="V135" s="225"/>
      <c r="W135" s="211"/>
      <c r="X135" s="211"/>
      <c r="Y135" s="226"/>
      <c r="Z135" s="226"/>
      <c r="AA135" s="226"/>
    </row>
    <row r="136" s="106" customFormat="1" ht="24" customHeight="1" spans="1:27">
      <c r="A136" s="212"/>
      <c r="B136" s="213"/>
      <c r="C136" s="241"/>
      <c r="D136" s="240"/>
      <c r="E136" s="216" t="str">
        <f>IF(D136="","",VLOOKUP(D136,'[4]Account Code'!$A$3:$D$272,2,0))</f>
        <v/>
      </c>
      <c r="F136" s="217"/>
      <c r="G136" s="232"/>
      <c r="H136" s="228"/>
      <c r="I136" s="219">
        <f>IFERROR(VLOOKUP(O136,[4]CREDITORS!A:B,2,0),"")</f>
        <v>0</v>
      </c>
      <c r="J136" s="221"/>
      <c r="K136" s="221"/>
      <c r="L136" s="222" t="e">
        <f t="shared" si="2"/>
        <v>#REF!</v>
      </c>
      <c r="M136" s="227"/>
      <c r="N136" s="224"/>
      <c r="O136" s="192"/>
      <c r="P136" s="211">
        <f t="shared" si="3"/>
        <v>0</v>
      </c>
      <c r="Q136" s="226"/>
      <c r="R136" s="226"/>
      <c r="S136" s="211"/>
      <c r="T136" s="211"/>
      <c r="U136" s="211"/>
      <c r="V136" s="225"/>
      <c r="W136" s="211"/>
      <c r="X136" s="211"/>
      <c r="Y136" s="226"/>
      <c r="Z136" s="226"/>
      <c r="AA136" s="226"/>
    </row>
    <row r="137" s="106" customFormat="1" ht="24" customHeight="1" spans="1:27">
      <c r="A137" s="212"/>
      <c r="B137" s="213"/>
      <c r="C137" s="241"/>
      <c r="D137" s="245"/>
      <c r="E137" s="216" t="str">
        <f>IF(D137="","",VLOOKUP(D137,'[4]Account Code'!$A$3:$D$272,2,0))</f>
        <v/>
      </c>
      <c r="F137" s="217"/>
      <c r="G137" s="228"/>
      <c r="H137" s="228"/>
      <c r="I137" s="219">
        <f>IFERROR(VLOOKUP(O137,[4]CREDITORS!A:B,2,0),"")</f>
        <v>0</v>
      </c>
      <c r="J137" s="221"/>
      <c r="K137" s="221"/>
      <c r="L137" s="222" t="e">
        <f t="shared" si="2"/>
        <v>#REF!</v>
      </c>
      <c r="M137" s="227"/>
      <c r="N137" s="224"/>
      <c r="O137" s="192"/>
      <c r="P137" s="211">
        <f t="shared" si="3"/>
        <v>0</v>
      </c>
      <c r="Q137" s="226"/>
      <c r="R137" s="226"/>
      <c r="S137" s="211"/>
      <c r="T137" s="211"/>
      <c r="U137" s="211"/>
      <c r="V137" s="225"/>
      <c r="W137" s="211"/>
      <c r="X137" s="211"/>
      <c r="Y137" s="226"/>
      <c r="Z137" s="226"/>
      <c r="AA137" s="226"/>
    </row>
    <row r="138" s="106" customFormat="1" ht="24" customHeight="1" spans="1:27">
      <c r="A138" s="212"/>
      <c r="B138" s="213"/>
      <c r="C138" s="241"/>
      <c r="D138" s="240"/>
      <c r="E138" s="216" t="str">
        <f>IF(D138="","",VLOOKUP(D138,'[4]Account Code'!$A$3:$D$272,2,0))</f>
        <v/>
      </c>
      <c r="F138" s="217"/>
      <c r="G138" s="232"/>
      <c r="H138" s="228"/>
      <c r="I138" s="219">
        <f>IFERROR(VLOOKUP(O138,[4]CREDITORS!A:B,2,0),"")</f>
        <v>0</v>
      </c>
      <c r="J138" s="221"/>
      <c r="K138" s="221"/>
      <c r="L138" s="222" t="e">
        <f t="shared" si="2"/>
        <v>#REF!</v>
      </c>
      <c r="M138" s="227"/>
      <c r="N138" s="224"/>
      <c r="O138" s="192"/>
      <c r="P138" s="211">
        <f t="shared" si="3"/>
        <v>0</v>
      </c>
      <c r="Q138" s="226"/>
      <c r="R138" s="226"/>
      <c r="S138" s="211"/>
      <c r="T138" s="211"/>
      <c r="U138" s="211"/>
      <c r="V138" s="225"/>
      <c r="W138" s="211"/>
      <c r="X138" s="211"/>
      <c r="Y138" s="226"/>
      <c r="Z138" s="226"/>
      <c r="AA138" s="226"/>
    </row>
    <row r="139" s="106" customFormat="1" ht="24" customHeight="1" spans="1:27">
      <c r="A139" s="212"/>
      <c r="B139" s="213"/>
      <c r="C139" s="241"/>
      <c r="D139" s="245"/>
      <c r="E139" s="216" t="str">
        <f>IF(D139="","",VLOOKUP(D139,'[4]Account Code'!$A$3:$D$272,2,0))</f>
        <v/>
      </c>
      <c r="F139" s="217"/>
      <c r="G139" s="228"/>
      <c r="H139" s="228"/>
      <c r="I139" s="219">
        <f>IFERROR(VLOOKUP(O139,[4]CREDITORS!A:B,2,0),"")</f>
        <v>0</v>
      </c>
      <c r="J139" s="255"/>
      <c r="K139" s="255"/>
      <c r="L139" s="222" t="e">
        <f t="shared" ref="L139:L202" si="4">+L138+J139-K139</f>
        <v>#REF!</v>
      </c>
      <c r="M139" s="227"/>
      <c r="N139" s="224"/>
      <c r="O139" s="192"/>
      <c r="P139" s="211">
        <f t="shared" ref="P139:P202" si="5">(LEN(C139))</f>
        <v>0</v>
      </c>
      <c r="Q139" s="226"/>
      <c r="R139" s="226"/>
      <c r="S139" s="211"/>
      <c r="T139" s="211"/>
      <c r="U139" s="211"/>
      <c r="V139" s="225"/>
      <c r="W139" s="211"/>
      <c r="X139" s="211"/>
      <c r="Y139" s="226"/>
      <c r="Z139" s="226"/>
      <c r="AA139" s="226"/>
    </row>
    <row r="140" s="106" customFormat="1" ht="24" customHeight="1" spans="1:27">
      <c r="A140" s="212"/>
      <c r="B140" s="213"/>
      <c r="C140" s="241"/>
      <c r="D140" s="240"/>
      <c r="E140" s="216" t="str">
        <f>IF(D140="","",VLOOKUP(D140,'[4]Account Code'!$A$3:$D$272,2,0))</f>
        <v/>
      </c>
      <c r="F140" s="217"/>
      <c r="G140" s="232"/>
      <c r="H140" s="228"/>
      <c r="I140" s="219">
        <f>IFERROR(VLOOKUP(O140,[4]CREDITORS!A:B,2,0),"")</f>
        <v>0</v>
      </c>
      <c r="J140" s="221"/>
      <c r="K140" s="221"/>
      <c r="L140" s="222" t="e">
        <f t="shared" si="4"/>
        <v>#REF!</v>
      </c>
      <c r="M140" s="227"/>
      <c r="N140" s="224"/>
      <c r="O140" s="192"/>
      <c r="P140" s="211">
        <f t="shared" si="5"/>
        <v>0</v>
      </c>
      <c r="Q140" s="226"/>
      <c r="R140" s="226"/>
      <c r="S140" s="211"/>
      <c r="T140" s="211"/>
      <c r="U140" s="211"/>
      <c r="V140" s="225"/>
      <c r="W140" s="211"/>
      <c r="X140" s="211"/>
      <c r="Y140" s="226"/>
      <c r="Z140" s="226"/>
      <c r="AA140" s="226"/>
    </row>
    <row r="141" s="106" customFormat="1" ht="24" customHeight="1" spans="1:27">
      <c r="A141" s="212"/>
      <c r="B141" s="213"/>
      <c r="C141" s="241"/>
      <c r="D141" s="239"/>
      <c r="E141" s="216"/>
      <c r="F141" s="217"/>
      <c r="G141" s="228"/>
      <c r="H141" s="228"/>
      <c r="I141" s="219">
        <f>IFERROR(VLOOKUP(O141,[4]CREDITORS!A:B,2,0),"")</f>
        <v>0</v>
      </c>
      <c r="J141" s="221"/>
      <c r="K141" s="221"/>
      <c r="L141" s="222" t="e">
        <f t="shared" si="4"/>
        <v>#REF!</v>
      </c>
      <c r="M141" s="227"/>
      <c r="N141" s="224"/>
      <c r="O141" s="192"/>
      <c r="P141" s="211">
        <f t="shared" si="5"/>
        <v>0</v>
      </c>
      <c r="Q141" s="226"/>
      <c r="R141" s="226"/>
      <c r="S141" s="211"/>
      <c r="T141" s="211"/>
      <c r="U141" s="211"/>
      <c r="V141" s="225"/>
      <c r="W141" s="211"/>
      <c r="X141" s="211"/>
      <c r="Y141" s="226"/>
      <c r="Z141" s="226"/>
      <c r="AA141" s="226"/>
    </row>
    <row r="142" s="106" customFormat="1" ht="24" customHeight="1" spans="1:27">
      <c r="A142" s="212"/>
      <c r="B142" s="213"/>
      <c r="C142" s="241"/>
      <c r="D142" s="239"/>
      <c r="E142" s="216"/>
      <c r="F142" s="217"/>
      <c r="G142" s="228"/>
      <c r="H142" s="228"/>
      <c r="I142" s="219">
        <f>IFERROR(VLOOKUP(O142,[4]CREDITORS!A:B,2,0),"")</f>
        <v>0</v>
      </c>
      <c r="J142" s="221"/>
      <c r="K142" s="221"/>
      <c r="L142" s="222" t="e">
        <f t="shared" si="4"/>
        <v>#REF!</v>
      </c>
      <c r="M142" s="227"/>
      <c r="N142" s="224"/>
      <c r="O142" s="192"/>
      <c r="P142" s="211">
        <f t="shared" si="5"/>
        <v>0</v>
      </c>
      <c r="Q142" s="226"/>
      <c r="R142" s="226"/>
      <c r="S142" s="211"/>
      <c r="T142" s="211"/>
      <c r="U142" s="211"/>
      <c r="V142" s="225"/>
      <c r="W142" s="211"/>
      <c r="X142" s="211"/>
      <c r="Y142" s="226"/>
      <c r="Z142" s="226"/>
      <c r="AA142" s="226"/>
    </row>
    <row r="143" s="106" customFormat="1" ht="24" customHeight="1" spans="1:27">
      <c r="A143" s="212"/>
      <c r="B143" s="213"/>
      <c r="C143" s="241"/>
      <c r="D143" s="239"/>
      <c r="E143" s="216"/>
      <c r="F143" s="217"/>
      <c r="G143" s="228"/>
      <c r="H143" s="228"/>
      <c r="I143" s="219">
        <f>IFERROR(VLOOKUP(O143,[4]CREDITORS!A:B,2,0),"")</f>
        <v>0</v>
      </c>
      <c r="J143" s="221"/>
      <c r="K143" s="221"/>
      <c r="L143" s="222" t="e">
        <f t="shared" si="4"/>
        <v>#REF!</v>
      </c>
      <c r="M143" s="227"/>
      <c r="N143" s="224"/>
      <c r="O143" s="192"/>
      <c r="P143" s="211">
        <f t="shared" si="5"/>
        <v>0</v>
      </c>
      <c r="Q143" s="226"/>
      <c r="R143" s="226"/>
      <c r="S143" s="211"/>
      <c r="T143" s="211"/>
      <c r="U143" s="211"/>
      <c r="V143" s="225"/>
      <c r="W143" s="211"/>
      <c r="X143" s="211"/>
      <c r="Y143" s="226"/>
      <c r="Z143" s="226"/>
      <c r="AA143" s="226"/>
    </row>
    <row r="144" s="106" customFormat="1" ht="24" customHeight="1" spans="1:27">
      <c r="A144" s="212"/>
      <c r="B144" s="213"/>
      <c r="C144" s="241"/>
      <c r="D144" s="245"/>
      <c r="E144" s="216" t="str">
        <f>IF(D144="","",VLOOKUP(D144,'[4]Account Code'!$A$3:$D$272,2,0))</f>
        <v/>
      </c>
      <c r="F144" s="217"/>
      <c r="G144" s="228"/>
      <c r="H144" s="228"/>
      <c r="I144" s="219">
        <f>IFERROR(VLOOKUP(O144,[4]CREDITORS!A:B,2,0),"")</f>
        <v>0</v>
      </c>
      <c r="J144" s="221"/>
      <c r="K144" s="221"/>
      <c r="L144" s="222" t="e">
        <f t="shared" si="4"/>
        <v>#REF!</v>
      </c>
      <c r="M144" s="227"/>
      <c r="N144" s="224"/>
      <c r="O144" s="192"/>
      <c r="P144" s="211">
        <f t="shared" si="5"/>
        <v>0</v>
      </c>
      <c r="Q144" s="226"/>
      <c r="R144" s="226"/>
      <c r="S144" s="211"/>
      <c r="T144" s="211"/>
      <c r="U144" s="211"/>
      <c r="V144" s="225"/>
      <c r="W144" s="211"/>
      <c r="X144" s="211"/>
      <c r="Y144" s="226"/>
      <c r="Z144" s="226"/>
      <c r="AA144" s="226"/>
    </row>
    <row r="145" s="106" customFormat="1" ht="24" customHeight="1" spans="1:27">
      <c r="A145" s="212"/>
      <c r="B145" s="213"/>
      <c r="C145" s="241"/>
      <c r="D145" s="245"/>
      <c r="E145" s="216" t="str">
        <f>IF(D145="","",VLOOKUP(D145,'[4]Account Code'!$A$3:$D$272,2,0))</f>
        <v/>
      </c>
      <c r="F145" s="217"/>
      <c r="G145" s="232"/>
      <c r="H145" s="232"/>
      <c r="I145" s="219">
        <f>IFERROR(VLOOKUP(O145,[4]CREDITORS!A:B,2,0),"")</f>
        <v>0</v>
      </c>
      <c r="J145" s="229"/>
      <c r="K145" s="229"/>
      <c r="L145" s="222" t="e">
        <f t="shared" si="4"/>
        <v>#REF!</v>
      </c>
      <c r="M145" s="227"/>
      <c r="N145" s="224"/>
      <c r="O145" s="192"/>
      <c r="P145" s="211">
        <f t="shared" si="5"/>
        <v>0</v>
      </c>
      <c r="Q145" s="226"/>
      <c r="R145" s="226"/>
      <c r="S145" s="211"/>
      <c r="T145" s="211"/>
      <c r="U145" s="211"/>
      <c r="V145" s="225"/>
      <c r="W145" s="211"/>
      <c r="X145" s="211"/>
      <c r="Y145" s="226"/>
      <c r="Z145" s="226"/>
      <c r="AA145" s="226"/>
    </row>
    <row r="146" s="106" customFormat="1" ht="24" customHeight="1" spans="1:27">
      <c r="A146" s="212"/>
      <c r="B146" s="213"/>
      <c r="C146" s="241"/>
      <c r="D146" s="245"/>
      <c r="E146" s="216" t="str">
        <f>IF(D146="","",VLOOKUP(D146,'[4]Account Code'!$A$3:$D$272,2,0))</f>
        <v/>
      </c>
      <c r="F146" s="217"/>
      <c r="G146" s="232"/>
      <c r="H146" s="232"/>
      <c r="I146" s="219">
        <f>IFERROR(VLOOKUP(O146,[4]CREDITORS!A:B,2,0),"")</f>
        <v>0</v>
      </c>
      <c r="J146" s="221"/>
      <c r="K146" s="221"/>
      <c r="L146" s="222" t="e">
        <f t="shared" si="4"/>
        <v>#REF!</v>
      </c>
      <c r="M146" s="227"/>
      <c r="N146" s="224"/>
      <c r="O146" s="192"/>
      <c r="P146" s="211">
        <f t="shared" si="5"/>
        <v>0</v>
      </c>
      <c r="Q146" s="226"/>
      <c r="R146" s="226"/>
      <c r="S146" s="211"/>
      <c r="T146" s="211"/>
      <c r="U146" s="211"/>
      <c r="V146" s="225"/>
      <c r="W146" s="211"/>
      <c r="X146" s="211"/>
      <c r="Y146" s="226"/>
      <c r="Z146" s="226"/>
      <c r="AA146" s="226"/>
    </row>
    <row r="147" s="106" customFormat="1" ht="24" customHeight="1" spans="1:27">
      <c r="A147" s="212"/>
      <c r="B147" s="213"/>
      <c r="C147" s="241"/>
      <c r="D147" s="245"/>
      <c r="E147" s="216" t="str">
        <f>IF(D147="","",VLOOKUP(D147,'[4]Account Code'!$A$3:$D$272,2,0))</f>
        <v/>
      </c>
      <c r="F147" s="217"/>
      <c r="G147" s="232"/>
      <c r="H147" s="232"/>
      <c r="I147" s="219">
        <f>IFERROR(VLOOKUP(O147,[4]CREDITORS!A:B,2,0),"")</f>
        <v>0</v>
      </c>
      <c r="J147" s="250"/>
      <c r="K147" s="250"/>
      <c r="L147" s="222" t="e">
        <f t="shared" si="4"/>
        <v>#REF!</v>
      </c>
      <c r="M147" s="227"/>
      <c r="N147" s="224"/>
      <c r="O147" s="192"/>
      <c r="P147" s="211">
        <f t="shared" si="5"/>
        <v>0</v>
      </c>
      <c r="Q147" s="226"/>
      <c r="R147" s="226"/>
      <c r="S147" s="211"/>
      <c r="T147" s="211"/>
      <c r="U147" s="211"/>
      <c r="V147" s="225"/>
      <c r="W147" s="211"/>
      <c r="X147" s="211"/>
      <c r="Y147" s="226"/>
      <c r="Z147" s="226"/>
      <c r="AA147" s="226"/>
    </row>
    <row r="148" s="106" customFormat="1" ht="24" customHeight="1" spans="1:27">
      <c r="A148" s="212"/>
      <c r="B148" s="213"/>
      <c r="C148" s="241"/>
      <c r="D148" s="245"/>
      <c r="E148" s="216" t="str">
        <f>IF(D148="","",VLOOKUP(D148,'[4]Account Code'!$A$3:$D$272,2,0))</f>
        <v/>
      </c>
      <c r="F148" s="217"/>
      <c r="G148" s="232"/>
      <c r="H148" s="232"/>
      <c r="I148" s="219">
        <f>IFERROR(VLOOKUP(O148,[4]CREDITORS!A:B,2,0),"")</f>
        <v>0</v>
      </c>
      <c r="J148" s="229"/>
      <c r="K148" s="250"/>
      <c r="L148" s="222" t="e">
        <f t="shared" si="4"/>
        <v>#REF!</v>
      </c>
      <c r="M148" s="227"/>
      <c r="N148" s="224"/>
      <c r="O148" s="192"/>
      <c r="P148" s="211">
        <f t="shared" si="5"/>
        <v>0</v>
      </c>
      <c r="Q148" s="226"/>
      <c r="R148" s="226"/>
      <c r="S148" s="211"/>
      <c r="T148" s="211"/>
      <c r="U148" s="211"/>
      <c r="V148" s="225"/>
      <c r="W148" s="211"/>
      <c r="X148" s="211"/>
      <c r="Y148" s="226"/>
      <c r="Z148" s="226"/>
      <c r="AA148" s="226"/>
    </row>
    <row r="149" s="106" customFormat="1" ht="24" customHeight="1" spans="1:27">
      <c r="A149" s="212"/>
      <c r="B149" s="213"/>
      <c r="C149" s="241"/>
      <c r="D149" s="240"/>
      <c r="E149" s="216" t="str">
        <f>IF(D149="","",VLOOKUP(D149,'[4]Account Code'!$A$3:$D$272,2,0))</f>
        <v/>
      </c>
      <c r="F149" s="217"/>
      <c r="G149" s="232"/>
      <c r="H149" s="232"/>
      <c r="I149" s="219">
        <f>IFERROR(VLOOKUP(O149,[4]CREDITORS!A:B,2,0),"")</f>
        <v>0</v>
      </c>
      <c r="J149" s="229"/>
      <c r="K149" s="250"/>
      <c r="L149" s="222" t="e">
        <f t="shared" si="4"/>
        <v>#REF!</v>
      </c>
      <c r="M149" s="227"/>
      <c r="N149" s="224"/>
      <c r="O149" s="192"/>
      <c r="P149" s="211">
        <f t="shared" si="5"/>
        <v>0</v>
      </c>
      <c r="Q149" s="226"/>
      <c r="R149" s="226"/>
      <c r="S149" s="211"/>
      <c r="T149" s="211"/>
      <c r="U149" s="211"/>
      <c r="V149" s="225"/>
      <c r="W149" s="211"/>
      <c r="X149" s="211"/>
      <c r="Y149" s="226"/>
      <c r="Z149" s="226"/>
      <c r="AA149" s="226"/>
    </row>
    <row r="150" s="106" customFormat="1" ht="24" customHeight="1" spans="1:27">
      <c r="A150" s="212"/>
      <c r="B150" s="213"/>
      <c r="C150" s="241"/>
      <c r="D150" s="245"/>
      <c r="E150" s="216" t="str">
        <f>IF(D150="","",VLOOKUP(D150,'[4]Account Code'!$A$3:$D$272,2,0))</f>
        <v/>
      </c>
      <c r="F150" s="217"/>
      <c r="G150" s="228"/>
      <c r="H150" s="228"/>
      <c r="I150" s="219">
        <f>IFERROR(VLOOKUP(O150,[4]CREDITORS!A:B,2,0),"")</f>
        <v>0</v>
      </c>
      <c r="J150" s="255"/>
      <c r="K150" s="255"/>
      <c r="L150" s="222" t="e">
        <f t="shared" si="4"/>
        <v>#REF!</v>
      </c>
      <c r="M150" s="227"/>
      <c r="N150" s="224"/>
      <c r="O150" s="192"/>
      <c r="P150" s="211">
        <f t="shared" si="5"/>
        <v>0</v>
      </c>
      <c r="Q150" s="226"/>
      <c r="R150" s="226"/>
      <c r="S150" s="211"/>
      <c r="T150" s="211"/>
      <c r="U150" s="211"/>
      <c r="V150" s="225"/>
      <c r="W150" s="211"/>
      <c r="X150" s="211"/>
      <c r="Y150" s="226"/>
      <c r="Z150" s="226"/>
      <c r="AA150" s="226"/>
    </row>
    <row r="151" s="106" customFormat="1" ht="24" customHeight="1" spans="1:27">
      <c r="A151" s="212"/>
      <c r="B151" s="213"/>
      <c r="C151" s="241"/>
      <c r="D151" s="240"/>
      <c r="E151" s="216" t="str">
        <f>IF(D151="","",VLOOKUP(D151,'[4]Account Code'!$A$3:$D$272,2,0))</f>
        <v/>
      </c>
      <c r="F151" s="217"/>
      <c r="G151" s="232"/>
      <c r="H151" s="228"/>
      <c r="I151" s="219">
        <f>IFERROR(VLOOKUP(O151,[4]CREDITORS!A:B,2,0),"")</f>
        <v>0</v>
      </c>
      <c r="J151" s="221"/>
      <c r="K151" s="221"/>
      <c r="L151" s="222" t="e">
        <f t="shared" si="4"/>
        <v>#REF!</v>
      </c>
      <c r="M151" s="227"/>
      <c r="N151" s="224"/>
      <c r="O151" s="192"/>
      <c r="P151" s="211">
        <f t="shared" si="5"/>
        <v>0</v>
      </c>
      <c r="Q151" s="226"/>
      <c r="R151" s="226"/>
      <c r="S151" s="211"/>
      <c r="T151" s="211"/>
      <c r="U151" s="211"/>
      <c r="V151" s="225"/>
      <c r="W151" s="211"/>
      <c r="X151" s="211"/>
      <c r="Y151" s="226"/>
      <c r="Z151" s="226"/>
      <c r="AA151" s="226"/>
    </row>
    <row r="152" s="106" customFormat="1" ht="24" customHeight="1" spans="1:27">
      <c r="A152" s="212"/>
      <c r="B152" s="213"/>
      <c r="C152" s="241"/>
      <c r="D152" s="239"/>
      <c r="E152" s="216" t="str">
        <f>IF(D152="","",VLOOKUP(D152,'[4]Account Code'!$A$3:$D$272,2,0))</f>
        <v/>
      </c>
      <c r="F152" s="217"/>
      <c r="G152" s="228"/>
      <c r="H152" s="228"/>
      <c r="I152" s="219">
        <f>IFERROR(VLOOKUP(O152,[4]CREDITORS!A:B,2,0),"")</f>
        <v>0</v>
      </c>
      <c r="J152" s="221"/>
      <c r="K152" s="221"/>
      <c r="L152" s="222" t="e">
        <f t="shared" si="4"/>
        <v>#REF!</v>
      </c>
      <c r="M152" s="227"/>
      <c r="N152" s="224"/>
      <c r="O152" s="192"/>
      <c r="P152" s="211">
        <f t="shared" si="5"/>
        <v>0</v>
      </c>
      <c r="Q152" s="226"/>
      <c r="R152" s="226"/>
      <c r="S152" s="211"/>
      <c r="T152" s="211"/>
      <c r="U152" s="211"/>
      <c r="V152" s="225"/>
      <c r="W152" s="211"/>
      <c r="X152" s="211"/>
      <c r="Y152" s="226"/>
      <c r="Z152" s="226"/>
      <c r="AA152" s="226"/>
    </row>
    <row r="153" s="106" customFormat="1" ht="24" customHeight="1" spans="1:27">
      <c r="A153" s="212"/>
      <c r="B153" s="213"/>
      <c r="C153" s="241"/>
      <c r="D153" s="240"/>
      <c r="E153" s="216" t="str">
        <f>IF(D153="","",VLOOKUP(D153,'[4]Account Code'!$A$3:$D$272,2,0))</f>
        <v/>
      </c>
      <c r="F153" s="217"/>
      <c r="G153" s="228"/>
      <c r="H153" s="228"/>
      <c r="I153" s="219">
        <f>IFERROR(VLOOKUP(O153,[4]CREDITORS!A:B,2,0),"")</f>
        <v>0</v>
      </c>
      <c r="J153" s="221"/>
      <c r="K153" s="221"/>
      <c r="L153" s="222" t="e">
        <f t="shared" si="4"/>
        <v>#REF!</v>
      </c>
      <c r="M153" s="227"/>
      <c r="N153" s="224"/>
      <c r="O153" s="192"/>
      <c r="P153" s="211">
        <f t="shared" si="5"/>
        <v>0</v>
      </c>
      <c r="Q153" s="226"/>
      <c r="R153" s="226"/>
      <c r="S153" s="211"/>
      <c r="T153" s="211"/>
      <c r="U153" s="211"/>
      <c r="V153" s="225"/>
      <c r="W153" s="211"/>
      <c r="X153" s="211"/>
      <c r="Y153" s="226"/>
      <c r="Z153" s="226"/>
      <c r="AA153" s="226"/>
    </row>
    <row r="154" s="106" customFormat="1" ht="24" customHeight="1" spans="1:27">
      <c r="A154" s="212"/>
      <c r="B154" s="213"/>
      <c r="C154" s="241"/>
      <c r="D154" s="239"/>
      <c r="E154" s="216" t="str">
        <f>IF(D154="","",VLOOKUP(D154,'[4]Account Code'!$A$3:$D$272,2,0))</f>
        <v/>
      </c>
      <c r="F154" s="217"/>
      <c r="G154" s="228"/>
      <c r="H154" s="228"/>
      <c r="I154" s="219">
        <f>IFERROR(VLOOKUP(O154,[4]CREDITORS!A:B,2,0),"")</f>
        <v>0</v>
      </c>
      <c r="J154" s="221"/>
      <c r="K154" s="221"/>
      <c r="L154" s="222" t="e">
        <f t="shared" si="4"/>
        <v>#REF!</v>
      </c>
      <c r="M154" s="227"/>
      <c r="N154" s="224"/>
      <c r="O154" s="192"/>
      <c r="P154" s="211">
        <f t="shared" si="5"/>
        <v>0</v>
      </c>
      <c r="Q154" s="226"/>
      <c r="R154" s="226"/>
      <c r="S154" s="211"/>
      <c r="T154" s="211"/>
      <c r="U154" s="211"/>
      <c r="V154" s="225"/>
      <c r="W154" s="211"/>
      <c r="X154" s="211"/>
      <c r="Y154" s="226"/>
      <c r="Z154" s="226"/>
      <c r="AA154" s="226"/>
    </row>
    <row r="155" s="106" customFormat="1" ht="24" customHeight="1" spans="1:27">
      <c r="A155" s="212"/>
      <c r="B155" s="213"/>
      <c r="C155" s="241"/>
      <c r="D155" s="239"/>
      <c r="E155" s="216" t="str">
        <f>IF(D155="","",VLOOKUP(D155,'[4]Account Code'!$A$3:$D$272,2,0))</f>
        <v/>
      </c>
      <c r="F155" s="217"/>
      <c r="G155" s="228"/>
      <c r="H155" s="228"/>
      <c r="I155" s="219">
        <f>IFERROR(VLOOKUP(O155,[4]CREDITORS!A:B,2,0),"")</f>
        <v>0</v>
      </c>
      <c r="J155" s="221"/>
      <c r="K155" s="221"/>
      <c r="L155" s="222" t="e">
        <f t="shared" si="4"/>
        <v>#REF!</v>
      </c>
      <c r="M155" s="227"/>
      <c r="N155" s="224"/>
      <c r="O155" s="192"/>
      <c r="P155" s="211">
        <f t="shared" si="5"/>
        <v>0</v>
      </c>
      <c r="Q155" s="226"/>
      <c r="R155" s="226"/>
      <c r="S155" s="211"/>
      <c r="T155" s="211"/>
      <c r="U155" s="211"/>
      <c r="V155" s="225"/>
      <c r="W155" s="211"/>
      <c r="X155" s="211"/>
      <c r="Y155" s="226"/>
      <c r="Z155" s="226"/>
      <c r="AA155" s="226"/>
    </row>
    <row r="156" s="106" customFormat="1" ht="24" customHeight="1" spans="1:27">
      <c r="A156" s="212"/>
      <c r="B156" s="213"/>
      <c r="C156" s="241"/>
      <c r="D156" s="239"/>
      <c r="E156" s="216" t="str">
        <f>IF(D156="","",VLOOKUP(D156,'[4]Account Code'!$A$3:$D$272,2,0))</f>
        <v/>
      </c>
      <c r="F156" s="217"/>
      <c r="G156" s="228"/>
      <c r="H156" s="228"/>
      <c r="I156" s="219">
        <f>IFERROR(VLOOKUP(O156,[4]CREDITORS!A:B,2,0),"")</f>
        <v>0</v>
      </c>
      <c r="J156" s="229"/>
      <c r="K156" s="221"/>
      <c r="L156" s="222" t="e">
        <f t="shared" si="4"/>
        <v>#REF!</v>
      </c>
      <c r="M156" s="227"/>
      <c r="N156" s="224"/>
      <c r="O156" s="192"/>
      <c r="P156" s="211">
        <f t="shared" si="5"/>
        <v>0</v>
      </c>
      <c r="Q156" s="226"/>
      <c r="R156" s="226"/>
      <c r="S156" s="211"/>
      <c r="T156" s="211"/>
      <c r="U156" s="211"/>
      <c r="V156" s="225"/>
      <c r="W156" s="211"/>
      <c r="X156" s="211"/>
      <c r="Y156" s="226"/>
      <c r="Z156" s="226"/>
      <c r="AA156" s="226"/>
    </row>
    <row r="157" s="106" customFormat="1" ht="24" customHeight="1" spans="1:27">
      <c r="A157" s="212"/>
      <c r="B157" s="213"/>
      <c r="C157" s="241"/>
      <c r="D157" s="256"/>
      <c r="E157" s="216" t="str">
        <f>IF(D157="","",VLOOKUP(D157,'[4]Account Code'!$A$3:$D$272,2,0))</f>
        <v/>
      </c>
      <c r="F157" s="217"/>
      <c r="G157" s="232"/>
      <c r="H157" s="232"/>
      <c r="I157" s="219">
        <f>IFERROR(VLOOKUP(O157,[4]CREDITORS!A:B,2,0),"")</f>
        <v>0</v>
      </c>
      <c r="J157" s="229"/>
      <c r="K157" s="250"/>
      <c r="L157" s="222" t="e">
        <f t="shared" si="4"/>
        <v>#REF!</v>
      </c>
      <c r="M157" s="227"/>
      <c r="N157" s="224"/>
      <c r="O157" s="192"/>
      <c r="P157" s="211">
        <f t="shared" si="5"/>
        <v>0</v>
      </c>
      <c r="Q157" s="226"/>
      <c r="R157" s="226"/>
      <c r="S157" s="211"/>
      <c r="T157" s="211"/>
      <c r="U157" s="211"/>
      <c r="V157" s="225"/>
      <c r="W157" s="211"/>
      <c r="X157" s="211"/>
      <c r="Y157" s="226"/>
      <c r="Z157" s="226"/>
      <c r="AA157" s="226"/>
    </row>
    <row r="158" s="106" customFormat="1" ht="24" customHeight="1" spans="1:27">
      <c r="A158" s="212"/>
      <c r="B158" s="213"/>
      <c r="C158" s="241"/>
      <c r="D158" s="240"/>
      <c r="E158" s="216" t="str">
        <f>IF(D158="","",VLOOKUP(D158,'[4]Account Code'!$A$3:$D$272,2,0))</f>
        <v/>
      </c>
      <c r="F158" s="217"/>
      <c r="G158" s="232"/>
      <c r="H158" s="232"/>
      <c r="I158" s="219">
        <f>IFERROR(VLOOKUP(O158,[4]CREDITORS!A:B,2,0),"")</f>
        <v>0</v>
      </c>
      <c r="J158" s="229"/>
      <c r="K158" s="250"/>
      <c r="L158" s="222" t="e">
        <f t="shared" si="4"/>
        <v>#REF!</v>
      </c>
      <c r="M158" s="227"/>
      <c r="N158" s="224"/>
      <c r="O158" s="192"/>
      <c r="P158" s="211">
        <f t="shared" si="5"/>
        <v>0</v>
      </c>
      <c r="Q158" s="226"/>
      <c r="R158" s="226"/>
      <c r="S158" s="211"/>
      <c r="T158" s="211"/>
      <c r="U158" s="211"/>
      <c r="V158" s="225"/>
      <c r="W158" s="211"/>
      <c r="X158" s="211"/>
      <c r="Y158" s="226"/>
      <c r="Z158" s="226"/>
      <c r="AA158" s="226"/>
    </row>
    <row r="159" s="106" customFormat="1" ht="24" customHeight="1" spans="1:27">
      <c r="A159" s="212"/>
      <c r="B159" s="213"/>
      <c r="C159" s="257"/>
      <c r="D159" s="240"/>
      <c r="E159" s="216" t="str">
        <f>IF(D159="","",VLOOKUP(D159,'[4]Account Code'!$A$3:$D$272,2,0))</f>
        <v/>
      </c>
      <c r="F159" s="217"/>
      <c r="G159" s="232"/>
      <c r="H159" s="232"/>
      <c r="I159" s="219">
        <f>IFERROR(VLOOKUP(O159,[4]CREDITORS!A:B,2,0),"")</f>
        <v>0</v>
      </c>
      <c r="J159" s="229"/>
      <c r="K159" s="250"/>
      <c r="L159" s="222" t="e">
        <f t="shared" si="4"/>
        <v>#REF!</v>
      </c>
      <c r="M159" s="227"/>
      <c r="N159" s="224"/>
      <c r="O159" s="192"/>
      <c r="P159" s="211">
        <f t="shared" si="5"/>
        <v>0</v>
      </c>
      <c r="Q159" s="226"/>
      <c r="R159" s="226"/>
      <c r="S159" s="211"/>
      <c r="T159" s="211"/>
      <c r="U159" s="211"/>
      <c r="V159" s="225"/>
      <c r="W159" s="211"/>
      <c r="X159" s="211"/>
      <c r="Y159" s="226"/>
      <c r="Z159" s="226"/>
      <c r="AA159" s="226"/>
    </row>
    <row r="160" s="106" customFormat="1" ht="24" customHeight="1" spans="1:27">
      <c r="A160" s="212"/>
      <c r="B160" s="213"/>
      <c r="C160" s="257"/>
      <c r="D160" s="256"/>
      <c r="E160" s="216" t="str">
        <f>IF(D160="","",VLOOKUP(D160,'[4]Account Code'!$A$3:$D$272,2,0))</f>
        <v/>
      </c>
      <c r="F160" s="217"/>
      <c r="G160" s="232"/>
      <c r="H160" s="232"/>
      <c r="I160" s="219">
        <f>IFERROR(VLOOKUP(O160,[4]CREDITORS!A:B,2,0),"")</f>
        <v>0</v>
      </c>
      <c r="J160" s="229"/>
      <c r="K160" s="250"/>
      <c r="L160" s="222" t="e">
        <f t="shared" si="4"/>
        <v>#REF!</v>
      </c>
      <c r="M160" s="227"/>
      <c r="N160" s="224"/>
      <c r="O160" s="192"/>
      <c r="P160" s="211">
        <f t="shared" si="5"/>
        <v>0</v>
      </c>
      <c r="Q160" s="226"/>
      <c r="R160" s="226"/>
      <c r="S160" s="211"/>
      <c r="T160" s="211"/>
      <c r="U160" s="211"/>
      <c r="V160" s="225"/>
      <c r="W160" s="211"/>
      <c r="X160" s="211"/>
      <c r="Y160" s="226"/>
      <c r="Z160" s="226"/>
      <c r="AA160" s="226"/>
    </row>
    <row r="161" s="106" customFormat="1" ht="24" customHeight="1" spans="1:27">
      <c r="A161" s="212"/>
      <c r="B161" s="213"/>
      <c r="C161" s="241"/>
      <c r="D161" s="256"/>
      <c r="E161" s="216" t="str">
        <f>IF(D161="","",VLOOKUP(D161,'[4]Account Code'!$A$3:$D$272,2,0))</f>
        <v/>
      </c>
      <c r="F161" s="217"/>
      <c r="G161" s="232"/>
      <c r="H161" s="232"/>
      <c r="I161" s="219">
        <f>IFERROR(VLOOKUP(O161,[4]CREDITORS!A:B,2,0),"")</f>
        <v>0</v>
      </c>
      <c r="J161" s="229"/>
      <c r="K161" s="250"/>
      <c r="L161" s="222" t="e">
        <f t="shared" si="4"/>
        <v>#REF!</v>
      </c>
      <c r="M161" s="227"/>
      <c r="N161" s="224"/>
      <c r="O161" s="192"/>
      <c r="P161" s="211">
        <f t="shared" si="5"/>
        <v>0</v>
      </c>
      <c r="Q161" s="226"/>
      <c r="R161" s="226"/>
      <c r="S161" s="211"/>
      <c r="T161" s="211"/>
      <c r="U161" s="211"/>
      <c r="V161" s="225"/>
      <c r="W161" s="211"/>
      <c r="X161" s="211"/>
      <c r="Y161" s="226"/>
      <c r="Z161" s="226"/>
      <c r="AA161" s="226"/>
    </row>
    <row r="162" s="106" customFormat="1" ht="24" customHeight="1" spans="1:27">
      <c r="A162" s="212"/>
      <c r="B162" s="213"/>
      <c r="C162" s="241"/>
      <c r="D162" s="245"/>
      <c r="E162" s="216" t="str">
        <f>IF(D162="","",VLOOKUP(D162,'[4]Account Code'!$A$3:$D$272,2,0))</f>
        <v/>
      </c>
      <c r="F162" s="217"/>
      <c r="G162" s="228"/>
      <c r="H162" s="228"/>
      <c r="I162" s="219">
        <f>IFERROR(VLOOKUP(O162,[4]CREDITORS!A:B,2,0),"")</f>
        <v>0</v>
      </c>
      <c r="J162" s="255"/>
      <c r="K162" s="255"/>
      <c r="L162" s="222" t="e">
        <f t="shared" si="4"/>
        <v>#REF!</v>
      </c>
      <c r="M162" s="227"/>
      <c r="N162" s="224"/>
      <c r="O162" s="192"/>
      <c r="P162" s="211">
        <f t="shared" si="5"/>
        <v>0</v>
      </c>
      <c r="Q162" s="226"/>
      <c r="R162" s="226"/>
      <c r="S162" s="211"/>
      <c r="T162" s="211"/>
      <c r="U162" s="211"/>
      <c r="V162" s="225"/>
      <c r="W162" s="211"/>
      <c r="X162" s="211"/>
      <c r="Y162" s="226"/>
      <c r="Z162" s="226"/>
      <c r="AA162" s="226"/>
    </row>
    <row r="163" s="106" customFormat="1" ht="24" customHeight="1" spans="1:27">
      <c r="A163" s="212"/>
      <c r="B163" s="213"/>
      <c r="C163" s="241"/>
      <c r="D163" s="240"/>
      <c r="E163" s="216" t="str">
        <f>IF(D163="","",VLOOKUP(D163,'[4]Account Code'!$A$3:$D$272,2,0))</f>
        <v/>
      </c>
      <c r="F163" s="217"/>
      <c r="G163" s="232"/>
      <c r="H163" s="228"/>
      <c r="I163" s="219">
        <f>IFERROR(VLOOKUP(O163,[4]CREDITORS!A:B,2,0),"")</f>
        <v>0</v>
      </c>
      <c r="J163" s="221"/>
      <c r="K163" s="221"/>
      <c r="L163" s="222" t="e">
        <f t="shared" si="4"/>
        <v>#REF!</v>
      </c>
      <c r="M163" s="227"/>
      <c r="N163" s="224"/>
      <c r="O163" s="192"/>
      <c r="P163" s="211">
        <f t="shared" si="5"/>
        <v>0</v>
      </c>
      <c r="Q163" s="226"/>
      <c r="R163" s="226"/>
      <c r="S163" s="211"/>
      <c r="T163" s="211"/>
      <c r="U163" s="211"/>
      <c r="V163" s="225"/>
      <c r="W163" s="211"/>
      <c r="X163" s="211"/>
      <c r="Y163" s="226"/>
      <c r="Z163" s="226"/>
      <c r="AA163" s="226"/>
    </row>
    <row r="164" s="106" customFormat="1" ht="24" customHeight="1" spans="1:27">
      <c r="A164" s="212"/>
      <c r="B164" s="213"/>
      <c r="C164" s="241"/>
      <c r="D164" s="245"/>
      <c r="E164" s="216" t="str">
        <f>IF(D164="","",VLOOKUP(D164,'[4]Account Code'!$A$3:$D$272,2,0))</f>
        <v/>
      </c>
      <c r="F164" s="217"/>
      <c r="G164" s="228"/>
      <c r="H164" s="228"/>
      <c r="I164" s="219">
        <f>IFERROR(VLOOKUP(O164,[4]CREDITORS!A:B,2,0),"")</f>
        <v>0</v>
      </c>
      <c r="J164" s="255"/>
      <c r="K164" s="255"/>
      <c r="L164" s="222" t="e">
        <f t="shared" si="4"/>
        <v>#REF!</v>
      </c>
      <c r="M164" s="227"/>
      <c r="N164" s="224"/>
      <c r="O164" s="192"/>
      <c r="P164" s="211">
        <f t="shared" si="5"/>
        <v>0</v>
      </c>
      <c r="Q164" s="226"/>
      <c r="R164" s="226"/>
      <c r="S164" s="211"/>
      <c r="T164" s="211"/>
      <c r="U164" s="211"/>
      <c r="V164" s="225"/>
      <c r="W164" s="211"/>
      <c r="X164" s="211"/>
      <c r="Y164" s="226"/>
      <c r="Z164" s="226"/>
      <c r="AA164" s="226"/>
    </row>
    <row r="165" s="106" customFormat="1" ht="24" customHeight="1" spans="1:27">
      <c r="A165" s="212"/>
      <c r="B165" s="213"/>
      <c r="C165" s="241"/>
      <c r="D165" s="240"/>
      <c r="E165" s="216" t="str">
        <f>IF(D165="","",VLOOKUP(D165,'[4]Account Code'!$A$3:$D$272,2,0))</f>
        <v/>
      </c>
      <c r="F165" s="217"/>
      <c r="G165" s="232"/>
      <c r="H165" s="228"/>
      <c r="I165" s="219">
        <f>IFERROR(VLOOKUP(O165,[4]CREDITORS!A:B,2,0),"")</f>
        <v>0</v>
      </c>
      <c r="J165" s="221"/>
      <c r="K165" s="221"/>
      <c r="L165" s="222" t="e">
        <f t="shared" si="4"/>
        <v>#REF!</v>
      </c>
      <c r="M165" s="227"/>
      <c r="N165" s="224"/>
      <c r="O165" s="192"/>
      <c r="P165" s="211">
        <f t="shared" si="5"/>
        <v>0</v>
      </c>
      <c r="Q165" s="226"/>
      <c r="R165" s="226"/>
      <c r="S165" s="211"/>
      <c r="T165" s="211"/>
      <c r="U165" s="211"/>
      <c r="V165" s="225"/>
      <c r="W165" s="211"/>
      <c r="X165" s="211"/>
      <c r="Y165" s="226"/>
      <c r="Z165" s="226"/>
      <c r="AA165" s="226"/>
    </row>
    <row r="166" s="106" customFormat="1" ht="24" customHeight="1" spans="1:27">
      <c r="A166" s="212"/>
      <c r="B166" s="213"/>
      <c r="C166" s="241"/>
      <c r="D166" s="239"/>
      <c r="E166" s="216" t="str">
        <f>IF(D166="","",VLOOKUP(D166,'[4]Account Code'!$A$3:$D$272,2,0))</f>
        <v/>
      </c>
      <c r="F166" s="217"/>
      <c r="G166" s="228"/>
      <c r="H166" s="228"/>
      <c r="I166" s="219">
        <f>IFERROR(VLOOKUP(O166,[4]CREDITORS!A:B,2,0),"")</f>
        <v>0</v>
      </c>
      <c r="J166" s="221"/>
      <c r="K166" s="221"/>
      <c r="L166" s="222" t="e">
        <f t="shared" si="4"/>
        <v>#REF!</v>
      </c>
      <c r="M166" s="227"/>
      <c r="N166" s="224"/>
      <c r="O166" s="192"/>
      <c r="P166" s="211">
        <f t="shared" si="5"/>
        <v>0</v>
      </c>
      <c r="Q166" s="226"/>
      <c r="R166" s="226"/>
      <c r="S166" s="211"/>
      <c r="T166" s="211"/>
      <c r="U166" s="211"/>
      <c r="V166" s="225"/>
      <c r="W166" s="211"/>
      <c r="X166" s="211"/>
      <c r="Y166" s="226"/>
      <c r="Z166" s="226"/>
      <c r="AA166" s="226"/>
    </row>
    <row r="167" s="106" customFormat="1" ht="24" customHeight="1" spans="1:27">
      <c r="A167" s="212"/>
      <c r="B167" s="213"/>
      <c r="C167" s="241"/>
      <c r="D167" s="239"/>
      <c r="E167" s="216" t="str">
        <f>IF(D167="","",VLOOKUP(D167,'[4]Account Code'!$A$3:$D$272,2,0))</f>
        <v/>
      </c>
      <c r="F167" s="217"/>
      <c r="G167" s="228"/>
      <c r="H167" s="228"/>
      <c r="I167" s="219">
        <f>IFERROR(VLOOKUP(O167,[4]CREDITORS!A:B,2,0),"")</f>
        <v>0</v>
      </c>
      <c r="J167" s="221"/>
      <c r="K167" s="221"/>
      <c r="L167" s="222" t="e">
        <f t="shared" si="4"/>
        <v>#REF!</v>
      </c>
      <c r="M167" s="227"/>
      <c r="N167" s="224"/>
      <c r="O167" s="192"/>
      <c r="P167" s="211">
        <f t="shared" si="5"/>
        <v>0</v>
      </c>
      <c r="Q167" s="226"/>
      <c r="R167" s="226"/>
      <c r="S167" s="211"/>
      <c r="T167" s="211"/>
      <c r="U167" s="211"/>
      <c r="V167" s="225"/>
      <c r="W167" s="211"/>
      <c r="X167" s="211"/>
      <c r="Y167" s="226"/>
      <c r="Z167" s="226"/>
      <c r="AA167" s="226"/>
    </row>
    <row r="168" s="106" customFormat="1" ht="24" customHeight="1" spans="1:27">
      <c r="A168" s="212"/>
      <c r="B168" s="213"/>
      <c r="C168" s="241"/>
      <c r="D168" s="245"/>
      <c r="E168" s="216" t="str">
        <f>IF(D168="","",VLOOKUP(D168,'[4]Account Code'!$A$3:$D$272,2,0))</f>
        <v/>
      </c>
      <c r="F168" s="217"/>
      <c r="G168" s="228"/>
      <c r="H168" s="228"/>
      <c r="I168" s="219">
        <f>IFERROR(VLOOKUP(O168,[4]CREDITORS!A:B,2,0),"")</f>
        <v>0</v>
      </c>
      <c r="J168" s="221"/>
      <c r="K168" s="221"/>
      <c r="L168" s="222" t="e">
        <f t="shared" si="4"/>
        <v>#REF!</v>
      </c>
      <c r="M168" s="227"/>
      <c r="N168" s="224"/>
      <c r="O168" s="192"/>
      <c r="P168" s="211">
        <f t="shared" si="5"/>
        <v>0</v>
      </c>
      <c r="Q168" s="226"/>
      <c r="R168" s="226"/>
      <c r="S168" s="211"/>
      <c r="T168" s="211"/>
      <c r="U168" s="211"/>
      <c r="V168" s="225"/>
      <c r="W168" s="211"/>
      <c r="X168" s="211"/>
      <c r="Y168" s="226"/>
      <c r="Z168" s="226"/>
      <c r="AA168" s="226"/>
    </row>
    <row r="169" s="106" customFormat="1" ht="24" customHeight="1" spans="1:27">
      <c r="A169" s="212"/>
      <c r="B169" s="213"/>
      <c r="C169" s="241"/>
      <c r="D169" s="240"/>
      <c r="E169" s="216" t="str">
        <f>IF(D169="","",VLOOKUP(D169,'[4]Account Code'!$A$3:$D$272,2,0))</f>
        <v/>
      </c>
      <c r="F169" s="217"/>
      <c r="G169" s="232"/>
      <c r="H169" s="232"/>
      <c r="I169" s="219">
        <f>IFERROR(VLOOKUP(O169,[4]CREDITORS!A:B,2,0),"")</f>
        <v>0</v>
      </c>
      <c r="J169" s="221"/>
      <c r="K169" s="229"/>
      <c r="L169" s="222" t="e">
        <f t="shared" si="4"/>
        <v>#REF!</v>
      </c>
      <c r="M169" s="227"/>
      <c r="N169" s="224"/>
      <c r="O169" s="192"/>
      <c r="P169" s="211">
        <f t="shared" si="5"/>
        <v>0</v>
      </c>
      <c r="Q169" s="226"/>
      <c r="R169" s="226"/>
      <c r="S169" s="211"/>
      <c r="T169" s="211"/>
      <c r="U169" s="211"/>
      <c r="V169" s="225"/>
      <c r="W169" s="211"/>
      <c r="X169" s="211"/>
      <c r="Y169" s="226"/>
      <c r="Z169" s="226"/>
      <c r="AA169" s="226"/>
    </row>
    <row r="170" s="106" customFormat="1" ht="24" customHeight="1" spans="1:27">
      <c r="A170" s="212"/>
      <c r="B170" s="213"/>
      <c r="C170" s="241"/>
      <c r="D170" s="239"/>
      <c r="E170" s="216" t="str">
        <f>IF(D170="","",VLOOKUP(D170,'[4]Account Code'!$A$3:$D$272,2,0))</f>
        <v/>
      </c>
      <c r="F170" s="217"/>
      <c r="G170" s="228"/>
      <c r="H170" s="228"/>
      <c r="I170" s="219">
        <f>IFERROR(VLOOKUP(O170,[4]CREDITORS!A:B,2,0),"")</f>
        <v>0</v>
      </c>
      <c r="J170" s="221"/>
      <c r="K170" s="221"/>
      <c r="L170" s="222" t="e">
        <f t="shared" si="4"/>
        <v>#REF!</v>
      </c>
      <c r="M170" s="227"/>
      <c r="N170" s="224"/>
      <c r="O170" s="192"/>
      <c r="P170" s="211">
        <f t="shared" si="5"/>
        <v>0</v>
      </c>
      <c r="Q170" s="226"/>
      <c r="R170" s="226"/>
      <c r="S170" s="211"/>
      <c r="T170" s="211"/>
      <c r="U170" s="211"/>
      <c r="V170" s="225"/>
      <c r="W170" s="211"/>
      <c r="X170" s="211"/>
      <c r="Y170" s="226"/>
      <c r="Z170" s="226"/>
      <c r="AA170" s="226"/>
    </row>
    <row r="171" s="106" customFormat="1" ht="24" customHeight="1" spans="1:27">
      <c r="A171" s="212"/>
      <c r="B171" s="213"/>
      <c r="C171" s="241"/>
      <c r="D171" s="239"/>
      <c r="E171" s="216" t="str">
        <f>IF(D171="","",VLOOKUP(D171,'[4]Account Code'!$A$3:$D$272,2,0))</f>
        <v/>
      </c>
      <c r="F171" s="217"/>
      <c r="G171" s="228"/>
      <c r="H171" s="228"/>
      <c r="I171" s="219">
        <f>IFERROR(VLOOKUP(O171,[4]CREDITORS!A:B,2,0),"")</f>
        <v>0</v>
      </c>
      <c r="J171" s="221"/>
      <c r="K171" s="221"/>
      <c r="L171" s="222" t="e">
        <f t="shared" si="4"/>
        <v>#REF!</v>
      </c>
      <c r="M171" s="227"/>
      <c r="N171" s="224"/>
      <c r="O171" s="192"/>
      <c r="P171" s="211">
        <f t="shared" si="5"/>
        <v>0</v>
      </c>
      <c r="Q171" s="226"/>
      <c r="R171" s="226"/>
      <c r="S171" s="211"/>
      <c r="T171" s="211"/>
      <c r="U171" s="211"/>
      <c r="V171" s="225"/>
      <c r="W171" s="211"/>
      <c r="X171" s="211"/>
      <c r="Y171" s="226"/>
      <c r="Z171" s="226"/>
      <c r="AA171" s="226"/>
    </row>
    <row r="172" s="106" customFormat="1" ht="24" customHeight="1" spans="1:27">
      <c r="A172" s="212"/>
      <c r="B172" s="258"/>
      <c r="C172" s="241"/>
      <c r="D172" s="256"/>
      <c r="E172" s="216" t="str">
        <f>IF(D172="","",VLOOKUP(D172,'[4]Account Code'!$A$3:$D$272,2,0))</f>
        <v/>
      </c>
      <c r="F172" s="217"/>
      <c r="G172" s="232"/>
      <c r="H172" s="232"/>
      <c r="I172" s="219">
        <f>IFERROR(VLOOKUP(O172,[4]CREDITORS!A:B,2,0),"")</f>
        <v>0</v>
      </c>
      <c r="J172" s="229"/>
      <c r="K172" s="250"/>
      <c r="L172" s="222" t="e">
        <f t="shared" si="4"/>
        <v>#REF!</v>
      </c>
      <c r="M172" s="227"/>
      <c r="N172" s="224"/>
      <c r="O172" s="192"/>
      <c r="P172" s="211">
        <f t="shared" si="5"/>
        <v>0</v>
      </c>
      <c r="Q172" s="226"/>
      <c r="R172" s="226"/>
      <c r="S172" s="211"/>
      <c r="T172" s="211"/>
      <c r="U172" s="211"/>
      <c r="V172" s="225"/>
      <c r="W172" s="211"/>
      <c r="X172" s="211"/>
      <c r="Y172" s="226"/>
      <c r="Z172" s="226"/>
      <c r="AA172" s="226"/>
    </row>
    <row r="173" s="106" customFormat="1" ht="24" customHeight="1" spans="1:27">
      <c r="A173" s="212"/>
      <c r="B173" s="258"/>
      <c r="C173" s="241"/>
      <c r="D173" s="256"/>
      <c r="E173" s="216" t="str">
        <f>IF(D173="","",VLOOKUP(D173,'[4]Account Code'!$A$3:$D$272,2,0))</f>
        <v/>
      </c>
      <c r="F173" s="217"/>
      <c r="G173" s="232"/>
      <c r="H173" s="232"/>
      <c r="I173" s="219">
        <f>IFERROR(VLOOKUP(O173,[4]CREDITORS!A:B,2,0),"")</f>
        <v>0</v>
      </c>
      <c r="J173" s="229"/>
      <c r="K173" s="250"/>
      <c r="L173" s="222" t="e">
        <f t="shared" si="4"/>
        <v>#REF!</v>
      </c>
      <c r="M173" s="227"/>
      <c r="N173" s="224"/>
      <c r="O173" s="192"/>
      <c r="P173" s="211">
        <f t="shared" si="5"/>
        <v>0</v>
      </c>
      <c r="Q173" s="226"/>
      <c r="R173" s="226"/>
      <c r="S173" s="211"/>
      <c r="T173" s="211"/>
      <c r="U173" s="211"/>
      <c r="V173" s="225"/>
      <c r="W173" s="211"/>
      <c r="X173" s="211"/>
      <c r="Y173" s="226"/>
      <c r="Z173" s="226"/>
      <c r="AA173" s="226"/>
    </row>
    <row r="174" s="106" customFormat="1" ht="24" customHeight="1" spans="1:27">
      <c r="A174" s="212"/>
      <c r="B174" s="258"/>
      <c r="C174" s="241"/>
      <c r="D174" s="256"/>
      <c r="E174" s="216" t="str">
        <f>IF(D174="","",VLOOKUP(D174,'[4]Account Code'!$A$3:$D$272,2,0))</f>
        <v/>
      </c>
      <c r="F174" s="217"/>
      <c r="G174" s="232"/>
      <c r="H174" s="232"/>
      <c r="I174" s="219">
        <f>IFERROR(VLOOKUP(O174,[4]CREDITORS!A:B,2,0),"")</f>
        <v>0</v>
      </c>
      <c r="J174" s="229"/>
      <c r="K174" s="250"/>
      <c r="L174" s="222" t="e">
        <f t="shared" si="4"/>
        <v>#REF!</v>
      </c>
      <c r="M174" s="227"/>
      <c r="N174" s="224"/>
      <c r="O174" s="192"/>
      <c r="P174" s="211">
        <f t="shared" si="5"/>
        <v>0</v>
      </c>
      <c r="Q174" s="226"/>
      <c r="R174" s="226"/>
      <c r="S174" s="211"/>
      <c r="T174" s="211"/>
      <c r="U174" s="211"/>
      <c r="V174" s="225"/>
      <c r="W174" s="211"/>
      <c r="X174" s="211"/>
      <c r="Y174" s="226"/>
      <c r="Z174" s="226"/>
      <c r="AA174" s="226"/>
    </row>
    <row r="175" s="106" customFormat="1" ht="24" customHeight="1" spans="1:27">
      <c r="A175" s="212"/>
      <c r="B175" s="258"/>
      <c r="C175" s="241"/>
      <c r="D175" s="256"/>
      <c r="E175" s="216" t="str">
        <f>IF(D175="","",VLOOKUP(D175,'[4]Account Code'!$A$3:$D$272,2,0))</f>
        <v/>
      </c>
      <c r="F175" s="217"/>
      <c r="G175" s="232"/>
      <c r="H175" s="232"/>
      <c r="I175" s="219">
        <f>IFERROR(VLOOKUP(O175,[4]CREDITORS!A:B,2,0),"")</f>
        <v>0</v>
      </c>
      <c r="J175" s="229"/>
      <c r="K175" s="250"/>
      <c r="L175" s="222" t="e">
        <f t="shared" si="4"/>
        <v>#REF!</v>
      </c>
      <c r="M175" s="227"/>
      <c r="N175" s="224"/>
      <c r="O175" s="192"/>
      <c r="P175" s="211">
        <f t="shared" si="5"/>
        <v>0</v>
      </c>
      <c r="Q175" s="226"/>
      <c r="R175" s="226"/>
      <c r="S175" s="211"/>
      <c r="T175" s="211"/>
      <c r="U175" s="211"/>
      <c r="V175" s="225"/>
      <c r="W175" s="211"/>
      <c r="X175" s="211"/>
      <c r="Y175" s="226"/>
      <c r="Z175" s="226"/>
      <c r="AA175" s="226"/>
    </row>
    <row r="176" s="106" customFormat="1" ht="24" customHeight="1" spans="1:27">
      <c r="A176" s="212"/>
      <c r="B176" s="258"/>
      <c r="C176" s="241"/>
      <c r="D176" s="256"/>
      <c r="E176" s="216" t="str">
        <f>IF(D176="","",VLOOKUP(D176,'[4]Account Code'!$A$3:$D$272,2,0))</f>
        <v/>
      </c>
      <c r="F176" s="217"/>
      <c r="G176" s="232"/>
      <c r="H176" s="232"/>
      <c r="I176" s="219">
        <f>IFERROR(VLOOKUP(O176,[4]CREDITORS!A:B,2,0),"")</f>
        <v>0</v>
      </c>
      <c r="J176" s="229"/>
      <c r="K176" s="250"/>
      <c r="L176" s="222" t="e">
        <f t="shared" si="4"/>
        <v>#REF!</v>
      </c>
      <c r="M176" s="227"/>
      <c r="N176" s="224"/>
      <c r="O176" s="192"/>
      <c r="P176" s="211">
        <f t="shared" si="5"/>
        <v>0</v>
      </c>
      <c r="Q176" s="226"/>
      <c r="R176" s="226"/>
      <c r="S176" s="211"/>
      <c r="T176" s="211"/>
      <c r="U176" s="211"/>
      <c r="V176" s="225"/>
      <c r="W176" s="211"/>
      <c r="X176" s="211"/>
      <c r="Y176" s="226"/>
      <c r="Z176" s="226"/>
      <c r="AA176" s="226"/>
    </row>
    <row r="177" s="106" customFormat="1" ht="24" customHeight="1" spans="1:27">
      <c r="A177" s="212"/>
      <c r="B177" s="258"/>
      <c r="C177" s="241"/>
      <c r="D177" s="256"/>
      <c r="E177" s="216" t="str">
        <f>IF(D177="","",VLOOKUP(D177,'[4]Account Code'!$A$3:$D$272,2,0))</f>
        <v/>
      </c>
      <c r="F177" s="217"/>
      <c r="G177" s="232"/>
      <c r="H177" s="232"/>
      <c r="I177" s="219">
        <f>IFERROR(VLOOKUP(O177,[4]CREDITORS!A:B,2,0),"")</f>
        <v>0</v>
      </c>
      <c r="J177" s="229"/>
      <c r="K177" s="250"/>
      <c r="L177" s="222" t="e">
        <f t="shared" si="4"/>
        <v>#REF!</v>
      </c>
      <c r="M177" s="227"/>
      <c r="N177" s="224"/>
      <c r="O177" s="192"/>
      <c r="P177" s="211">
        <f t="shared" si="5"/>
        <v>0</v>
      </c>
      <c r="Q177" s="226"/>
      <c r="R177" s="226"/>
      <c r="S177" s="211"/>
      <c r="T177" s="211"/>
      <c r="U177" s="211"/>
      <c r="V177" s="225"/>
      <c r="W177" s="211"/>
      <c r="X177" s="211"/>
      <c r="Y177" s="226"/>
      <c r="Z177" s="226"/>
      <c r="AA177" s="226"/>
    </row>
    <row r="178" s="106" customFormat="1" ht="24" customHeight="1" spans="1:27">
      <c r="A178" s="212"/>
      <c r="B178" s="258"/>
      <c r="C178" s="241"/>
      <c r="D178" s="256"/>
      <c r="E178" s="216" t="str">
        <f>IF(D178="","",VLOOKUP(D178,'[4]Account Code'!$A$3:$D$272,2,0))</f>
        <v/>
      </c>
      <c r="F178" s="217"/>
      <c r="G178" s="232"/>
      <c r="H178" s="232"/>
      <c r="I178" s="219">
        <f>IFERROR(VLOOKUP(O178,[4]CREDITORS!A:B,2,0),"")</f>
        <v>0</v>
      </c>
      <c r="J178" s="229"/>
      <c r="K178" s="250"/>
      <c r="L178" s="222" t="e">
        <f t="shared" si="4"/>
        <v>#REF!</v>
      </c>
      <c r="M178" s="227"/>
      <c r="N178" s="224"/>
      <c r="O178" s="192"/>
      <c r="P178" s="211">
        <f t="shared" si="5"/>
        <v>0</v>
      </c>
      <c r="Q178" s="226"/>
      <c r="R178" s="226"/>
      <c r="S178" s="211"/>
      <c r="T178" s="211"/>
      <c r="U178" s="211"/>
      <c r="V178" s="225"/>
      <c r="W178" s="211"/>
      <c r="X178" s="211"/>
      <c r="Y178" s="226"/>
      <c r="Z178" s="226"/>
      <c r="AA178" s="226"/>
    </row>
    <row r="179" s="106" customFormat="1" ht="24" customHeight="1" spans="1:27">
      <c r="A179" s="212"/>
      <c r="B179" s="258"/>
      <c r="C179" s="241"/>
      <c r="D179" s="239"/>
      <c r="E179" s="216" t="str">
        <f>IF(D179="","",VLOOKUP(D179,'[4]Account Code'!$A$3:$D$272,2,0))</f>
        <v/>
      </c>
      <c r="F179" s="217"/>
      <c r="G179" s="228"/>
      <c r="H179" s="232"/>
      <c r="I179" s="219">
        <f>IFERROR(VLOOKUP(O179,[4]CREDITORS!A:B,2,0),"")</f>
        <v>0</v>
      </c>
      <c r="J179" s="259"/>
      <c r="K179" s="259"/>
      <c r="L179" s="222" t="e">
        <f t="shared" si="4"/>
        <v>#REF!</v>
      </c>
      <c r="M179" s="227"/>
      <c r="N179" s="224"/>
      <c r="O179" s="192"/>
      <c r="P179" s="211">
        <f t="shared" si="5"/>
        <v>0</v>
      </c>
      <c r="Q179" s="226"/>
      <c r="R179" s="226"/>
      <c r="S179" s="211"/>
      <c r="T179" s="211"/>
      <c r="U179" s="211"/>
      <c r="V179" s="225"/>
      <c r="W179" s="211"/>
      <c r="X179" s="211"/>
      <c r="Y179" s="226"/>
      <c r="Z179" s="226"/>
      <c r="AA179" s="226"/>
    </row>
    <row r="180" s="103" customFormat="1" ht="24" customHeight="1" spans="1:27">
      <c r="A180" s="212"/>
      <c r="B180" s="258"/>
      <c r="C180" s="241"/>
      <c r="D180" s="239"/>
      <c r="E180" s="216" t="str">
        <f>IF(D180="","",VLOOKUP(D180,'[4]Account Code'!$A$3:$D$272,2,0))</f>
        <v/>
      </c>
      <c r="F180" s="217"/>
      <c r="G180" s="228"/>
      <c r="H180" s="232"/>
      <c r="I180" s="219">
        <f>IFERROR(VLOOKUP(O180,[4]CREDITORS!A:B,2,0),"")</f>
        <v>0</v>
      </c>
      <c r="J180" s="260"/>
      <c r="K180" s="261"/>
      <c r="L180" s="222" t="e">
        <f t="shared" si="4"/>
        <v>#REF!</v>
      </c>
      <c r="M180" s="262"/>
      <c r="N180" s="224"/>
      <c r="O180" s="192"/>
      <c r="P180" s="211">
        <f t="shared" si="5"/>
        <v>0</v>
      </c>
      <c r="Q180" s="124"/>
      <c r="R180" s="124"/>
      <c r="S180" s="128"/>
      <c r="T180" s="128"/>
      <c r="U180" s="128"/>
      <c r="V180" s="129"/>
      <c r="W180" s="128"/>
      <c r="X180" s="128"/>
      <c r="Y180" s="124"/>
      <c r="Z180" s="124"/>
      <c r="AA180" s="124"/>
    </row>
    <row r="181" s="103" customFormat="1" ht="24" customHeight="1" spans="1:27">
      <c r="A181" s="212"/>
      <c r="B181" s="258"/>
      <c r="C181" s="241"/>
      <c r="D181" s="239"/>
      <c r="E181" s="216" t="str">
        <f>IF(D181="","",VLOOKUP(D181,'[4]Account Code'!$A$3:$D$272,2,0))</f>
        <v/>
      </c>
      <c r="F181" s="217"/>
      <c r="G181" s="228"/>
      <c r="H181" s="232"/>
      <c r="I181" s="219">
        <f>IFERROR(VLOOKUP(O181,[4]CREDITORS!A:B,2,0),"")</f>
        <v>0</v>
      </c>
      <c r="J181" s="260"/>
      <c r="K181" s="261"/>
      <c r="L181" s="222" t="e">
        <f t="shared" si="4"/>
        <v>#REF!</v>
      </c>
      <c r="M181" s="262"/>
      <c r="N181" s="224"/>
      <c r="O181" s="192"/>
      <c r="P181" s="211">
        <f t="shared" si="5"/>
        <v>0</v>
      </c>
      <c r="Q181" s="124"/>
      <c r="R181" s="124"/>
      <c r="S181" s="128"/>
      <c r="T181" s="128"/>
      <c r="U181" s="128"/>
      <c r="V181" s="129"/>
      <c r="W181" s="128"/>
      <c r="X181" s="128"/>
      <c r="Y181" s="124"/>
      <c r="Z181" s="124"/>
      <c r="AA181" s="124"/>
    </row>
    <row r="182" s="103" customFormat="1" ht="24" customHeight="1" spans="1:27">
      <c r="A182" s="212"/>
      <c r="B182" s="258"/>
      <c r="C182" s="241"/>
      <c r="D182" s="239"/>
      <c r="E182" s="216" t="str">
        <f>IF(D182="","",VLOOKUP(D182,'[4]Account Code'!$A$3:$D$272,2,0))</f>
        <v/>
      </c>
      <c r="F182" s="217"/>
      <c r="G182" s="228"/>
      <c r="H182" s="232"/>
      <c r="I182" s="219">
        <f>IFERROR(VLOOKUP(O182,[4]CREDITORS!A:B,2,0),"")</f>
        <v>0</v>
      </c>
      <c r="J182" s="260"/>
      <c r="K182" s="261"/>
      <c r="L182" s="222" t="e">
        <f t="shared" si="4"/>
        <v>#REF!</v>
      </c>
      <c r="M182" s="262"/>
      <c r="N182" s="224"/>
      <c r="O182" s="192"/>
      <c r="P182" s="211">
        <f t="shared" si="5"/>
        <v>0</v>
      </c>
      <c r="Q182" s="124"/>
      <c r="R182" s="124"/>
      <c r="S182" s="128"/>
      <c r="T182" s="128"/>
      <c r="U182" s="128"/>
      <c r="V182" s="129"/>
      <c r="W182" s="128"/>
      <c r="X182" s="128"/>
      <c r="Y182" s="124"/>
      <c r="Z182" s="124"/>
      <c r="AA182" s="124"/>
    </row>
    <row r="183" s="103" customFormat="1" ht="24" customHeight="1" spans="1:27">
      <c r="A183" s="212"/>
      <c r="B183" s="258"/>
      <c r="C183" s="241"/>
      <c r="D183" s="239"/>
      <c r="E183" s="216" t="str">
        <f>IF(D183="","",VLOOKUP(D183,'[4]Account Code'!$A$3:$D$272,2,0))</f>
        <v/>
      </c>
      <c r="F183" s="217"/>
      <c r="G183" s="228"/>
      <c r="H183" s="232"/>
      <c r="I183" s="219">
        <f>IFERROR(VLOOKUP(O183,[4]CREDITORS!A:B,2,0),"")</f>
        <v>0</v>
      </c>
      <c r="J183" s="260"/>
      <c r="K183" s="261"/>
      <c r="L183" s="222" t="e">
        <f t="shared" si="4"/>
        <v>#REF!</v>
      </c>
      <c r="M183" s="262"/>
      <c r="N183" s="224"/>
      <c r="O183" s="192"/>
      <c r="P183" s="211">
        <f t="shared" si="5"/>
        <v>0</v>
      </c>
      <c r="Q183" s="124"/>
      <c r="R183" s="124"/>
      <c r="S183" s="128"/>
      <c r="T183" s="128"/>
      <c r="U183" s="128"/>
      <c r="V183" s="129"/>
      <c r="W183" s="128"/>
      <c r="X183" s="128"/>
      <c r="Y183" s="124"/>
      <c r="Z183" s="124"/>
      <c r="AA183" s="124"/>
    </row>
    <row r="184" s="103" customFormat="1" ht="24" customHeight="1" spans="1:27">
      <c r="A184" s="212"/>
      <c r="B184" s="258"/>
      <c r="C184" s="241"/>
      <c r="D184" s="239"/>
      <c r="E184" s="216" t="str">
        <f>IF(D184="","",VLOOKUP(D184,'[4]Account Code'!$A$3:$D$272,2,0))</f>
        <v/>
      </c>
      <c r="F184" s="217"/>
      <c r="G184" s="228"/>
      <c r="H184" s="228"/>
      <c r="I184" s="219">
        <f>IFERROR(VLOOKUP(O184,[4]CREDITORS!A:B,2,0),"")</f>
        <v>0</v>
      </c>
      <c r="J184" s="220"/>
      <c r="K184" s="263"/>
      <c r="L184" s="222" t="e">
        <f t="shared" si="4"/>
        <v>#REF!</v>
      </c>
      <c r="M184" s="262"/>
      <c r="N184" s="224"/>
      <c r="O184" s="192"/>
      <c r="P184" s="211">
        <f t="shared" si="5"/>
        <v>0</v>
      </c>
      <c r="Q184" s="124"/>
      <c r="R184" s="124"/>
      <c r="S184" s="128"/>
      <c r="T184" s="128"/>
      <c r="U184" s="128"/>
      <c r="V184" s="129"/>
      <c r="W184" s="128"/>
      <c r="X184" s="128"/>
      <c r="Y184" s="124"/>
      <c r="Z184" s="124"/>
      <c r="AA184" s="124"/>
    </row>
    <row r="185" s="103" customFormat="1" ht="24" customHeight="1" spans="1:27">
      <c r="A185" s="212"/>
      <c r="B185" s="258"/>
      <c r="C185" s="241"/>
      <c r="D185" s="239"/>
      <c r="E185" s="216" t="str">
        <f>IF(D185="","",VLOOKUP(D185,'[4]Account Code'!$A$3:$D$272,2,0))</f>
        <v/>
      </c>
      <c r="F185" s="217"/>
      <c r="G185" s="228"/>
      <c r="H185" s="228"/>
      <c r="I185" s="219">
        <f>IFERROR(VLOOKUP(O185,[4]CREDITORS!A:B,2,0),"")</f>
        <v>0</v>
      </c>
      <c r="J185" s="229"/>
      <c r="K185" s="250"/>
      <c r="L185" s="222" t="e">
        <f t="shared" si="4"/>
        <v>#REF!</v>
      </c>
      <c r="M185" s="262"/>
      <c r="N185" s="264"/>
      <c r="O185" s="192"/>
      <c r="P185" s="211">
        <f t="shared" si="5"/>
        <v>0</v>
      </c>
      <c r="Q185" s="124"/>
      <c r="R185" s="124"/>
      <c r="S185" s="128"/>
      <c r="T185" s="128"/>
      <c r="U185" s="128"/>
      <c r="V185" s="129"/>
      <c r="W185" s="128"/>
      <c r="X185" s="128"/>
      <c r="Y185" s="124"/>
      <c r="Z185" s="124"/>
      <c r="AA185" s="124"/>
    </row>
    <row r="186" s="103" customFormat="1" ht="24" customHeight="1" spans="1:27">
      <c r="A186" s="212"/>
      <c r="B186" s="258"/>
      <c r="C186" s="241"/>
      <c r="D186" s="239"/>
      <c r="E186" s="216" t="str">
        <f>IF(D186="","",VLOOKUP(D186,'[4]Account Code'!$A$3:$D$272,2,0))</f>
        <v/>
      </c>
      <c r="F186" s="217"/>
      <c r="G186" s="232"/>
      <c r="H186" s="232"/>
      <c r="I186" s="219">
        <f>IFERROR(VLOOKUP(O186,[4]CREDITORS!A:B,2,0),"")</f>
        <v>0</v>
      </c>
      <c r="J186" s="229"/>
      <c r="K186" s="250"/>
      <c r="L186" s="222" t="e">
        <f t="shared" si="4"/>
        <v>#REF!</v>
      </c>
      <c r="M186" s="262"/>
      <c r="N186" s="265"/>
      <c r="O186" s="192"/>
      <c r="P186" s="211">
        <f t="shared" si="5"/>
        <v>0</v>
      </c>
      <c r="Q186" s="124"/>
      <c r="R186" s="124"/>
      <c r="S186" s="128"/>
      <c r="T186" s="128"/>
      <c r="U186" s="128"/>
      <c r="V186" s="129"/>
      <c r="W186" s="128"/>
      <c r="X186" s="128"/>
      <c r="Y186" s="124"/>
      <c r="Z186" s="124"/>
      <c r="AA186" s="124"/>
    </row>
    <row r="187" s="103" customFormat="1" ht="24" customHeight="1" spans="1:27">
      <c r="A187" s="212"/>
      <c r="B187" s="258"/>
      <c r="C187" s="241"/>
      <c r="D187" s="239"/>
      <c r="E187" s="216" t="str">
        <f>IF(D187="","",VLOOKUP(D187,'[4]Account Code'!$A$3:$D$272,2,0))</f>
        <v/>
      </c>
      <c r="F187" s="217"/>
      <c r="G187" s="232"/>
      <c r="H187" s="232"/>
      <c r="I187" s="219">
        <f>IFERROR(VLOOKUP(O187,[4]CREDITORS!A:B,2,0),"")</f>
        <v>0</v>
      </c>
      <c r="J187" s="221"/>
      <c r="K187" s="250"/>
      <c r="L187" s="222" t="e">
        <f t="shared" si="4"/>
        <v>#REF!</v>
      </c>
      <c r="M187" s="262"/>
      <c r="N187" s="248"/>
      <c r="O187" s="192"/>
      <c r="P187" s="211">
        <f t="shared" si="5"/>
        <v>0</v>
      </c>
      <c r="Q187" s="124"/>
      <c r="R187" s="124"/>
      <c r="S187" s="128"/>
      <c r="T187" s="128"/>
      <c r="U187" s="128"/>
      <c r="V187" s="129"/>
      <c r="W187" s="128"/>
      <c r="X187" s="128"/>
      <c r="Y187" s="124"/>
      <c r="Z187" s="124"/>
      <c r="AA187" s="124"/>
    </row>
    <row r="188" s="103" customFormat="1" ht="24" customHeight="1" spans="1:27">
      <c r="A188" s="212"/>
      <c r="B188" s="213"/>
      <c r="C188" s="241"/>
      <c r="D188" s="239"/>
      <c r="E188" s="216" t="str">
        <f>IF(D188="","",VLOOKUP(D188,'[4]Account Code'!$A$3:$D$272,2,0))</f>
        <v/>
      </c>
      <c r="F188" s="217"/>
      <c r="G188" s="228"/>
      <c r="H188" s="228"/>
      <c r="I188" s="219">
        <f>IFERROR(VLOOKUP(O188,[4]CREDITORS!A:B,2,0),"")</f>
        <v>0</v>
      </c>
      <c r="J188" s="229"/>
      <c r="K188" s="250"/>
      <c r="L188" s="222" t="e">
        <f t="shared" si="4"/>
        <v>#REF!</v>
      </c>
      <c r="M188" s="262"/>
      <c r="N188" s="248"/>
      <c r="O188" s="192"/>
      <c r="P188" s="211">
        <f t="shared" si="5"/>
        <v>0</v>
      </c>
      <c r="Q188" s="124"/>
      <c r="R188" s="124"/>
      <c r="S188" s="128"/>
      <c r="T188" s="128"/>
      <c r="U188" s="128"/>
      <c r="V188" s="129"/>
      <c r="W188" s="128"/>
      <c r="X188" s="128"/>
      <c r="Y188" s="124"/>
      <c r="Z188" s="124"/>
      <c r="AA188" s="124"/>
    </row>
    <row r="189" s="103" customFormat="1" ht="24" customHeight="1" spans="1:27">
      <c r="A189" s="212"/>
      <c r="B189" s="213"/>
      <c r="C189" s="241"/>
      <c r="D189" s="239"/>
      <c r="E189" s="216" t="str">
        <f>IF(D189="","",VLOOKUP(D189,'[4]Account Code'!$A$3:$D$272,2,0))</f>
        <v/>
      </c>
      <c r="F189" s="217"/>
      <c r="G189" s="228"/>
      <c r="H189" s="228"/>
      <c r="I189" s="219">
        <f>IFERROR(VLOOKUP(O189,[4]CREDITORS!A:B,2,0),"")</f>
        <v>0</v>
      </c>
      <c r="J189" s="221"/>
      <c r="K189" s="250"/>
      <c r="L189" s="222" t="e">
        <f t="shared" si="4"/>
        <v>#REF!</v>
      </c>
      <c r="M189" s="262"/>
      <c r="N189" s="248"/>
      <c r="O189" s="192"/>
      <c r="P189" s="211">
        <f t="shared" si="5"/>
        <v>0</v>
      </c>
      <c r="Q189" s="124"/>
      <c r="R189" s="124"/>
      <c r="S189" s="128"/>
      <c r="T189" s="128"/>
      <c r="U189" s="128"/>
      <c r="V189" s="129"/>
      <c r="W189" s="128"/>
      <c r="X189" s="128"/>
      <c r="Y189" s="124"/>
      <c r="Z189" s="124"/>
      <c r="AA189" s="124"/>
    </row>
    <row r="190" s="103" customFormat="1" ht="24" customHeight="1" spans="1:27">
      <c r="A190" s="212"/>
      <c r="B190" s="213"/>
      <c r="C190" s="241"/>
      <c r="D190" s="239"/>
      <c r="E190" s="216" t="str">
        <f>IF(D190="","",VLOOKUP(D190,'[4]Account Code'!$A$3:$D$272,2,0))</f>
        <v/>
      </c>
      <c r="F190" s="217"/>
      <c r="G190" s="228"/>
      <c r="H190" s="228"/>
      <c r="I190" s="219">
        <f>IFERROR(VLOOKUP(O190,[4]CREDITORS!A:B,2,0),"")</f>
        <v>0</v>
      </c>
      <c r="J190" s="229"/>
      <c r="K190" s="250"/>
      <c r="L190" s="222" t="e">
        <f t="shared" si="4"/>
        <v>#REF!</v>
      </c>
      <c r="M190" s="262"/>
      <c r="N190" s="224"/>
      <c r="O190" s="192"/>
      <c r="P190" s="211">
        <f t="shared" si="5"/>
        <v>0</v>
      </c>
      <c r="Q190" s="124"/>
      <c r="R190" s="124"/>
      <c r="S190" s="128"/>
      <c r="T190" s="128"/>
      <c r="U190" s="128"/>
      <c r="V190" s="129"/>
      <c r="W190" s="128"/>
      <c r="X190" s="128"/>
      <c r="Y190" s="124"/>
      <c r="Z190" s="124"/>
      <c r="AA190" s="124"/>
    </row>
    <row r="191" s="103" customFormat="1" ht="24" customHeight="1" spans="1:27">
      <c r="A191" s="212"/>
      <c r="B191" s="213"/>
      <c r="C191" s="241"/>
      <c r="D191" s="239"/>
      <c r="E191" s="216" t="str">
        <f>IF(D191="","",VLOOKUP(D191,'[4]Account Code'!$A$3:$D$272,2,0))</f>
        <v/>
      </c>
      <c r="F191" s="217"/>
      <c r="G191" s="228"/>
      <c r="H191" s="228"/>
      <c r="I191" s="219">
        <f>IFERROR(VLOOKUP(O191,[4]CREDITORS!A:B,2,0),"")</f>
        <v>0</v>
      </c>
      <c r="J191" s="229"/>
      <c r="K191" s="250"/>
      <c r="L191" s="222" t="e">
        <f t="shared" si="4"/>
        <v>#REF!</v>
      </c>
      <c r="M191" s="262"/>
      <c r="N191" s="248"/>
      <c r="O191" s="192"/>
      <c r="P191" s="211">
        <f t="shared" si="5"/>
        <v>0</v>
      </c>
      <c r="Q191" s="124"/>
      <c r="R191" s="124"/>
      <c r="S191" s="128"/>
      <c r="T191" s="128"/>
      <c r="U191" s="128"/>
      <c r="V191" s="129"/>
      <c r="W191" s="128"/>
      <c r="X191" s="128"/>
      <c r="Y191" s="124"/>
      <c r="Z191" s="124"/>
      <c r="AA191" s="124"/>
    </row>
    <row r="192" s="103" customFormat="1" ht="24" customHeight="1" spans="1:27">
      <c r="A192" s="212"/>
      <c r="B192" s="213"/>
      <c r="C192" s="214"/>
      <c r="D192" s="239"/>
      <c r="E192" s="216" t="str">
        <f>IF(D192="","",VLOOKUP(D192,'[4]Account Code'!$A$3:$D$272,2,0))</f>
        <v/>
      </c>
      <c r="F192" s="217"/>
      <c r="G192" s="228"/>
      <c r="H192" s="228"/>
      <c r="I192" s="219">
        <f>IFERROR(VLOOKUP(O192,[4]CREDITORS!A:B,2,0),"")</f>
        <v>0</v>
      </c>
      <c r="J192" s="221"/>
      <c r="K192" s="250"/>
      <c r="L192" s="222" t="e">
        <f t="shared" si="4"/>
        <v>#REF!</v>
      </c>
      <c r="M192" s="262"/>
      <c r="N192" s="224"/>
      <c r="O192" s="192"/>
      <c r="P192" s="211">
        <f t="shared" si="5"/>
        <v>0</v>
      </c>
      <c r="Q192" s="124"/>
      <c r="R192" s="124"/>
      <c r="S192" s="128"/>
      <c r="T192" s="128"/>
      <c r="U192" s="128"/>
      <c r="V192" s="129"/>
      <c r="W192" s="128"/>
      <c r="X192" s="128"/>
      <c r="Y192" s="124"/>
      <c r="Z192" s="124"/>
      <c r="AA192" s="124"/>
    </row>
    <row r="193" s="103" customFormat="1" ht="24" customHeight="1" spans="1:27">
      <c r="A193" s="212"/>
      <c r="B193" s="213"/>
      <c r="C193" s="214"/>
      <c r="D193" s="239"/>
      <c r="E193" s="216" t="str">
        <f>IF(D193="","",VLOOKUP(D193,'[4]Account Code'!$A$3:$D$272,2,0))</f>
        <v/>
      </c>
      <c r="F193" s="217"/>
      <c r="G193" s="228"/>
      <c r="H193" s="228"/>
      <c r="I193" s="219">
        <f>IFERROR(VLOOKUP(O193,[4]CREDITORS!A:B,2,0),"")</f>
        <v>0</v>
      </c>
      <c r="J193" s="229"/>
      <c r="K193" s="250"/>
      <c r="L193" s="222" t="e">
        <f t="shared" si="4"/>
        <v>#REF!</v>
      </c>
      <c r="M193" s="262"/>
      <c r="N193" s="248"/>
      <c r="O193" s="192"/>
      <c r="P193" s="211">
        <f t="shared" si="5"/>
        <v>0</v>
      </c>
      <c r="Q193" s="124"/>
      <c r="R193" s="124"/>
      <c r="S193" s="128"/>
      <c r="T193" s="128"/>
      <c r="U193" s="128"/>
      <c r="V193" s="129"/>
      <c r="W193" s="128"/>
      <c r="X193" s="128"/>
      <c r="Y193" s="124"/>
      <c r="Z193" s="124"/>
      <c r="AA193" s="124"/>
    </row>
    <row r="194" s="103" customFormat="1" ht="24" customHeight="1" spans="1:27">
      <c r="A194" s="212"/>
      <c r="B194" s="213"/>
      <c r="C194" s="214"/>
      <c r="D194" s="239"/>
      <c r="E194" s="216" t="str">
        <f>IF(D194="","",VLOOKUP(D194,'[4]Account Code'!$A$3:$D$272,2,0))</f>
        <v/>
      </c>
      <c r="F194" s="217"/>
      <c r="G194" s="228"/>
      <c r="H194" s="228"/>
      <c r="I194" s="219">
        <f>IFERROR(VLOOKUP(O194,[4]CREDITORS!A:B,2,0),"")</f>
        <v>0</v>
      </c>
      <c r="J194" s="229"/>
      <c r="K194" s="250"/>
      <c r="L194" s="222" t="e">
        <f t="shared" si="4"/>
        <v>#REF!</v>
      </c>
      <c r="M194" s="262"/>
      <c r="N194" s="224"/>
      <c r="O194" s="192"/>
      <c r="P194" s="211">
        <f t="shared" si="5"/>
        <v>0</v>
      </c>
      <c r="Q194" s="124"/>
      <c r="R194" s="124"/>
      <c r="S194" s="128"/>
      <c r="T194" s="128"/>
      <c r="U194" s="128"/>
      <c r="V194" s="129"/>
      <c r="W194" s="128"/>
      <c r="X194" s="128"/>
      <c r="Y194" s="124"/>
      <c r="Z194" s="124"/>
      <c r="AA194" s="124"/>
    </row>
    <row r="195" s="103" customFormat="1" ht="24" customHeight="1" spans="1:27">
      <c r="A195" s="212"/>
      <c r="B195" s="213"/>
      <c r="C195" s="214"/>
      <c r="D195" s="239"/>
      <c r="E195" s="216" t="str">
        <f>IF(D195="","",VLOOKUP(D195,'[4]Account Code'!$A$3:$D$272,2,0))</f>
        <v/>
      </c>
      <c r="F195" s="217"/>
      <c r="G195" s="228"/>
      <c r="H195" s="228"/>
      <c r="I195" s="219">
        <f>IFERROR(VLOOKUP(O195,[4]CREDITORS!A:B,2,0),"")</f>
        <v>0</v>
      </c>
      <c r="J195" s="229"/>
      <c r="K195" s="250"/>
      <c r="L195" s="222" t="e">
        <f t="shared" si="4"/>
        <v>#REF!</v>
      </c>
      <c r="M195" s="262"/>
      <c r="N195" s="248"/>
      <c r="O195" s="192"/>
      <c r="P195" s="211">
        <f t="shared" si="5"/>
        <v>0</v>
      </c>
      <c r="Q195" s="124"/>
      <c r="R195" s="124"/>
      <c r="S195" s="128"/>
      <c r="T195" s="128"/>
      <c r="U195" s="128"/>
      <c r="V195" s="129"/>
      <c r="W195" s="128"/>
      <c r="X195" s="128"/>
      <c r="Y195" s="124"/>
      <c r="Z195" s="124"/>
      <c r="AA195" s="124"/>
    </row>
    <row r="196" s="103" customFormat="1" ht="24" customHeight="1" spans="1:27">
      <c r="A196" s="212"/>
      <c r="B196" s="213"/>
      <c r="C196" s="214"/>
      <c r="D196" s="239"/>
      <c r="E196" s="216" t="str">
        <f>IF(D196="","",VLOOKUP(D196,'[4]Account Code'!$A$3:$D$272,2,0))</f>
        <v/>
      </c>
      <c r="F196" s="217"/>
      <c r="G196" s="228"/>
      <c r="H196" s="228"/>
      <c r="I196" s="219">
        <f>IFERROR(VLOOKUP(O196,[4]CREDITORS!A:B,2,0),"")</f>
        <v>0</v>
      </c>
      <c r="J196" s="229"/>
      <c r="K196" s="250"/>
      <c r="L196" s="222" t="e">
        <f t="shared" si="4"/>
        <v>#REF!</v>
      </c>
      <c r="M196" s="262"/>
      <c r="N196" s="248"/>
      <c r="O196" s="192"/>
      <c r="P196" s="211">
        <f t="shared" si="5"/>
        <v>0</v>
      </c>
      <c r="Q196" s="124"/>
      <c r="R196" s="124"/>
      <c r="S196" s="128"/>
      <c r="T196" s="128"/>
      <c r="U196" s="128"/>
      <c r="V196" s="129"/>
      <c r="W196" s="128"/>
      <c r="X196" s="128"/>
      <c r="Y196" s="124"/>
      <c r="Z196" s="124"/>
      <c r="AA196" s="124"/>
    </row>
    <row r="197" s="103" customFormat="1" ht="24" customHeight="1" spans="1:27">
      <c r="A197" s="212"/>
      <c r="B197" s="213"/>
      <c r="C197" s="214"/>
      <c r="D197" s="239"/>
      <c r="E197" s="216" t="str">
        <f>IF(D197="","",VLOOKUP(D197,'[4]Account Code'!$A$3:$D$272,2,0))</f>
        <v/>
      </c>
      <c r="F197" s="217"/>
      <c r="G197" s="228"/>
      <c r="H197" s="228"/>
      <c r="I197" s="219">
        <f>IFERROR(VLOOKUP(O197,[4]CREDITORS!A:B,2,0),"")</f>
        <v>0</v>
      </c>
      <c r="J197" s="229"/>
      <c r="K197" s="250"/>
      <c r="L197" s="222" t="e">
        <f t="shared" si="4"/>
        <v>#REF!</v>
      </c>
      <c r="M197" s="262"/>
      <c r="N197" s="224"/>
      <c r="O197" s="192"/>
      <c r="P197" s="211">
        <f t="shared" si="5"/>
        <v>0</v>
      </c>
      <c r="Q197" s="124"/>
      <c r="R197" s="124"/>
      <c r="S197" s="128"/>
      <c r="T197" s="128"/>
      <c r="U197" s="128"/>
      <c r="V197" s="129"/>
      <c r="W197" s="128"/>
      <c r="X197" s="128"/>
      <c r="Y197" s="124"/>
      <c r="Z197" s="124"/>
      <c r="AA197" s="124"/>
    </row>
    <row r="198" s="103" customFormat="1" ht="24" customHeight="1" spans="1:27">
      <c r="A198" s="212"/>
      <c r="B198" s="213"/>
      <c r="C198" s="214"/>
      <c r="D198" s="254"/>
      <c r="E198" s="216" t="str">
        <f>IF(D198="","",VLOOKUP(D198,'[4]Account Code'!$A$3:$D$272,2,0))</f>
        <v/>
      </c>
      <c r="F198" s="217"/>
      <c r="G198" s="228"/>
      <c r="H198" s="228"/>
      <c r="I198" s="219">
        <f>IFERROR(VLOOKUP(O198,[4]CREDITORS!A:B,2,0),"")</f>
        <v>0</v>
      </c>
      <c r="J198" s="229"/>
      <c r="K198" s="250"/>
      <c r="L198" s="222" t="e">
        <f t="shared" si="4"/>
        <v>#REF!</v>
      </c>
      <c r="M198" s="262"/>
      <c r="N198" s="248"/>
      <c r="O198" s="192"/>
      <c r="P198" s="211">
        <f t="shared" si="5"/>
        <v>0</v>
      </c>
      <c r="Q198" s="124"/>
      <c r="R198" s="124"/>
      <c r="S198" s="128"/>
      <c r="T198" s="128"/>
      <c r="U198" s="128"/>
      <c r="V198" s="129"/>
      <c r="W198" s="128"/>
      <c r="X198" s="128"/>
      <c r="Y198" s="124"/>
      <c r="Z198" s="124"/>
      <c r="AA198" s="124"/>
    </row>
    <row r="199" s="103" customFormat="1" ht="24" customHeight="1" spans="1:27">
      <c r="A199" s="212"/>
      <c r="B199" s="213"/>
      <c r="C199" s="214"/>
      <c r="D199" s="254"/>
      <c r="E199" s="216" t="str">
        <f>IF(D199="","",VLOOKUP(D199,'[4]Account Code'!$A$3:$D$272,2,0))</f>
        <v/>
      </c>
      <c r="F199" s="217"/>
      <c r="G199" s="228"/>
      <c r="H199" s="228"/>
      <c r="I199" s="219">
        <f>IFERROR(VLOOKUP(O199,[4]CREDITORS!A:B,2,0),"")</f>
        <v>0</v>
      </c>
      <c r="J199" s="229"/>
      <c r="K199" s="250"/>
      <c r="L199" s="222" t="e">
        <f t="shared" si="4"/>
        <v>#REF!</v>
      </c>
      <c r="M199" s="262"/>
      <c r="N199" s="224"/>
      <c r="O199" s="192"/>
      <c r="P199" s="211">
        <f t="shared" si="5"/>
        <v>0</v>
      </c>
      <c r="Q199" s="124"/>
      <c r="R199" s="124"/>
      <c r="S199" s="128"/>
      <c r="T199" s="128"/>
      <c r="U199" s="128"/>
      <c r="V199" s="129"/>
      <c r="W199" s="128"/>
      <c r="X199" s="128"/>
      <c r="Y199" s="124"/>
      <c r="Z199" s="124"/>
      <c r="AA199" s="124"/>
    </row>
    <row r="200" s="103" customFormat="1" ht="24" customHeight="1" spans="1:27">
      <c r="A200" s="212"/>
      <c r="B200" s="213"/>
      <c r="C200" s="214"/>
      <c r="D200" s="254"/>
      <c r="E200" s="216" t="str">
        <f>IF(D200="","",VLOOKUP(D200,'[4]Account Code'!$A$3:$D$272,2,0))</f>
        <v/>
      </c>
      <c r="F200" s="217"/>
      <c r="G200" s="228"/>
      <c r="H200" s="228"/>
      <c r="I200" s="219">
        <f>IFERROR(VLOOKUP(O200,[4]CREDITORS!A:B,2,0),"")</f>
        <v>0</v>
      </c>
      <c r="J200" s="229"/>
      <c r="K200" s="250"/>
      <c r="L200" s="222" t="e">
        <f t="shared" si="4"/>
        <v>#REF!</v>
      </c>
      <c r="M200" s="262"/>
      <c r="N200" s="248"/>
      <c r="O200" s="192"/>
      <c r="P200" s="211">
        <f t="shared" si="5"/>
        <v>0</v>
      </c>
      <c r="Q200" s="124"/>
      <c r="R200" s="124"/>
      <c r="S200" s="128"/>
      <c r="T200" s="128"/>
      <c r="U200" s="128"/>
      <c r="V200" s="129"/>
      <c r="W200" s="128"/>
      <c r="X200" s="128"/>
      <c r="Y200" s="124"/>
      <c r="Z200" s="124"/>
      <c r="AA200" s="124"/>
    </row>
    <row r="201" s="103" customFormat="1" ht="24" customHeight="1" spans="1:27">
      <c r="A201" s="212"/>
      <c r="B201" s="213"/>
      <c r="C201" s="214"/>
      <c r="D201" s="254"/>
      <c r="E201" s="216" t="str">
        <f>IF(D201="","",VLOOKUP(D201,'[4]Account Code'!$A$3:$D$272,2,0))</f>
        <v/>
      </c>
      <c r="F201" s="217"/>
      <c r="G201" s="228"/>
      <c r="H201" s="228"/>
      <c r="I201" s="219">
        <f>IFERROR(VLOOKUP(O201,[4]CREDITORS!A:B,2,0),"")</f>
        <v>0</v>
      </c>
      <c r="J201" s="229"/>
      <c r="K201" s="250"/>
      <c r="L201" s="222" t="e">
        <f t="shared" si="4"/>
        <v>#REF!</v>
      </c>
      <c r="M201" s="262"/>
      <c r="N201" s="248"/>
      <c r="O201" s="192"/>
      <c r="P201" s="211">
        <f t="shared" si="5"/>
        <v>0</v>
      </c>
      <c r="Q201" s="124"/>
      <c r="R201" s="124"/>
      <c r="S201" s="128"/>
      <c r="T201" s="128"/>
      <c r="U201" s="128"/>
      <c r="V201" s="129"/>
      <c r="W201" s="128"/>
      <c r="X201" s="128"/>
      <c r="Y201" s="124"/>
      <c r="Z201" s="124"/>
      <c r="AA201" s="124"/>
    </row>
    <row r="202" s="103" customFormat="1" ht="24" customHeight="1" spans="1:27">
      <c r="A202" s="212"/>
      <c r="B202" s="213"/>
      <c r="C202" s="257"/>
      <c r="D202" s="266"/>
      <c r="E202" s="216" t="str">
        <f>IF(D202="","",VLOOKUP(D202,'[4]Account Code'!$A$3:$D$272,2,0))</f>
        <v/>
      </c>
      <c r="F202" s="217"/>
      <c r="G202" s="267"/>
      <c r="H202" s="267"/>
      <c r="I202" s="219">
        <f>IFERROR(VLOOKUP(O202,[4]CREDITORS!A:B,2,0),"")</f>
        <v>0</v>
      </c>
      <c r="J202" s="268"/>
      <c r="K202" s="269"/>
      <c r="L202" s="222" t="e">
        <f t="shared" si="4"/>
        <v>#REF!</v>
      </c>
      <c r="M202" s="262"/>
      <c r="N202" s="270"/>
      <c r="O202" s="192"/>
      <c r="P202" s="211">
        <f t="shared" si="5"/>
        <v>0</v>
      </c>
      <c r="Q202" s="124"/>
      <c r="R202" s="124"/>
      <c r="S202" s="128"/>
      <c r="T202" s="128"/>
      <c r="U202" s="128"/>
      <c r="V202" s="129"/>
      <c r="W202" s="128"/>
      <c r="X202" s="128"/>
      <c r="Y202" s="124"/>
      <c r="Z202" s="124"/>
      <c r="AA202" s="124"/>
    </row>
    <row r="203" s="103" customFormat="1" ht="24" customHeight="1" spans="1:27">
      <c r="A203" s="212"/>
      <c r="B203" s="213"/>
      <c r="C203" s="214"/>
      <c r="D203" s="254"/>
      <c r="E203" s="216" t="str">
        <f>IF(D203="","",VLOOKUP(D203,'[4]Account Code'!$A$3:$D$272,2,0))</f>
        <v/>
      </c>
      <c r="F203" s="217"/>
      <c r="G203" s="228"/>
      <c r="H203" s="228"/>
      <c r="I203" s="219">
        <f>IFERROR(VLOOKUP(O203,[4]CREDITORS!A:B,2,0),"")</f>
        <v>0</v>
      </c>
      <c r="J203" s="229"/>
      <c r="K203" s="250"/>
      <c r="L203" s="222" t="e">
        <f t="shared" ref="L203:L226" si="6">+L202+J203-K203</f>
        <v>#REF!</v>
      </c>
      <c r="M203" s="262"/>
      <c r="N203" s="248"/>
      <c r="O203" s="192"/>
      <c r="P203" s="211">
        <f t="shared" ref="P203:P215" si="7">(LEN(C203))</f>
        <v>0</v>
      </c>
      <c r="Q203" s="124"/>
      <c r="R203" s="124"/>
      <c r="S203" s="128"/>
      <c r="T203" s="128"/>
      <c r="U203" s="128"/>
      <c r="V203" s="129"/>
      <c r="W203" s="128"/>
      <c r="X203" s="128"/>
      <c r="Y203" s="124"/>
      <c r="Z203" s="124"/>
      <c r="AA203" s="124"/>
    </row>
    <row r="204" s="103" customFormat="1" ht="24" customHeight="1" spans="1:27">
      <c r="A204" s="212"/>
      <c r="B204" s="213"/>
      <c r="C204" s="214"/>
      <c r="D204" s="254"/>
      <c r="E204" s="216" t="str">
        <f>IF(D204="","",VLOOKUP(D204,'[4]Account Code'!$A$3:$D$272,2,0))</f>
        <v/>
      </c>
      <c r="F204" s="217"/>
      <c r="G204" s="228"/>
      <c r="H204" s="228"/>
      <c r="I204" s="219">
        <f>IFERROR(VLOOKUP(O204,[4]CREDITORS!A:B,2,0),"")</f>
        <v>0</v>
      </c>
      <c r="J204" s="229"/>
      <c r="K204" s="250"/>
      <c r="L204" s="222" t="e">
        <f t="shared" si="6"/>
        <v>#REF!</v>
      </c>
      <c r="M204" s="262"/>
      <c r="N204" s="248"/>
      <c r="O204" s="192"/>
      <c r="P204" s="211">
        <f t="shared" si="7"/>
        <v>0</v>
      </c>
      <c r="Q204" s="124"/>
      <c r="R204" s="124"/>
      <c r="S204" s="128"/>
      <c r="T204" s="128"/>
      <c r="U204" s="128"/>
      <c r="V204" s="129"/>
      <c r="W204" s="128"/>
      <c r="X204" s="128"/>
      <c r="Y204" s="124"/>
      <c r="Z204" s="124"/>
      <c r="AA204" s="124"/>
    </row>
    <row r="205" s="103" customFormat="1" ht="24" customHeight="1" spans="1:27">
      <c r="A205" s="212"/>
      <c r="B205" s="213"/>
      <c r="C205" s="214"/>
      <c r="D205" s="271"/>
      <c r="E205" s="216" t="str">
        <f>IF(D205="","",VLOOKUP(D205,'[4]Account Code'!$A$3:$D$272,2,0))</f>
        <v/>
      </c>
      <c r="F205" s="217"/>
      <c r="G205" s="218"/>
      <c r="H205" s="218"/>
      <c r="I205" s="219">
        <f>IFERROR(VLOOKUP(O205,[4]CREDITORS!A:B,2,0),"")</f>
        <v>0</v>
      </c>
      <c r="J205" s="220"/>
      <c r="K205" s="263"/>
      <c r="L205" s="222" t="e">
        <f t="shared" si="6"/>
        <v>#REF!</v>
      </c>
      <c r="M205" s="262"/>
      <c r="N205" s="248"/>
      <c r="O205" s="192"/>
      <c r="P205" s="211">
        <f t="shared" si="7"/>
        <v>0</v>
      </c>
      <c r="Q205" s="124"/>
      <c r="R205" s="124"/>
      <c r="S205" s="128"/>
      <c r="T205" s="128"/>
      <c r="U205" s="128"/>
      <c r="V205" s="129"/>
      <c r="W205" s="128"/>
      <c r="X205" s="128"/>
      <c r="Y205" s="124"/>
      <c r="Z205" s="124"/>
      <c r="AA205" s="124"/>
    </row>
    <row r="206" s="103" customFormat="1" ht="24" customHeight="1" spans="1:27">
      <c r="A206" s="212"/>
      <c r="B206" s="213"/>
      <c r="C206" s="214"/>
      <c r="D206" s="254"/>
      <c r="E206" s="216" t="str">
        <f>IF(D206="","",VLOOKUP(D206,'[4]Account Code'!$A$3:$D$272,2,0))</f>
        <v/>
      </c>
      <c r="F206" s="217"/>
      <c r="G206" s="228"/>
      <c r="H206" s="228"/>
      <c r="I206" s="219">
        <f>IFERROR(VLOOKUP(O206,[4]CREDITORS!A:B,2,0),"")</f>
        <v>0</v>
      </c>
      <c r="J206" s="229"/>
      <c r="K206" s="250"/>
      <c r="L206" s="222" t="e">
        <f t="shared" si="6"/>
        <v>#REF!</v>
      </c>
      <c r="M206" s="262"/>
      <c r="N206" s="248"/>
      <c r="O206" s="192"/>
      <c r="P206" s="211">
        <f t="shared" si="7"/>
        <v>0</v>
      </c>
      <c r="Q206" s="124"/>
      <c r="R206" s="124"/>
      <c r="S206" s="128"/>
      <c r="T206" s="128"/>
      <c r="U206" s="128"/>
      <c r="V206" s="129"/>
      <c r="W206" s="128"/>
      <c r="X206" s="128"/>
      <c r="Y206" s="124"/>
      <c r="Z206" s="124"/>
      <c r="AA206" s="124"/>
    </row>
    <row r="207" s="103" customFormat="1" ht="24" customHeight="1" spans="1:27">
      <c r="A207" s="212"/>
      <c r="B207" s="213"/>
      <c r="C207" s="214"/>
      <c r="D207" s="254"/>
      <c r="E207" s="216" t="str">
        <f>IF(D207="","",VLOOKUP(D207,'[4]Account Code'!$A$3:$D$272,2,0))</f>
        <v/>
      </c>
      <c r="F207" s="217"/>
      <c r="G207" s="228"/>
      <c r="H207" s="228"/>
      <c r="I207" s="219">
        <f>IFERROR(VLOOKUP(O207,[4]CREDITORS!A:B,2,0),"")</f>
        <v>0</v>
      </c>
      <c r="J207" s="229"/>
      <c r="K207" s="250"/>
      <c r="L207" s="222" t="e">
        <f t="shared" si="6"/>
        <v>#REF!</v>
      </c>
      <c r="M207" s="262"/>
      <c r="N207" s="248"/>
      <c r="O207" s="192"/>
      <c r="P207" s="211">
        <f t="shared" si="7"/>
        <v>0</v>
      </c>
      <c r="Q207" s="124"/>
      <c r="R207" s="124"/>
      <c r="S207" s="128"/>
      <c r="T207" s="128"/>
      <c r="U207" s="128"/>
      <c r="V207" s="129"/>
      <c r="W207" s="128"/>
      <c r="X207" s="128"/>
      <c r="Y207" s="124"/>
      <c r="Z207" s="124"/>
      <c r="AA207" s="124"/>
    </row>
    <row r="208" s="103" customFormat="1" ht="24" customHeight="1" spans="1:27">
      <c r="A208" s="212"/>
      <c r="B208" s="213"/>
      <c r="C208" s="214"/>
      <c r="D208" s="254"/>
      <c r="E208" s="216" t="str">
        <f>IF(D208="","",VLOOKUP(D208,'[4]Account Code'!$A$3:$D$272,2,0))</f>
        <v/>
      </c>
      <c r="F208" s="217"/>
      <c r="G208" s="228"/>
      <c r="H208" s="228"/>
      <c r="I208" s="219">
        <f>IFERROR(VLOOKUP(O208,[4]CREDITORS!A:B,2,0),"")</f>
        <v>0</v>
      </c>
      <c r="J208" s="229"/>
      <c r="K208" s="250"/>
      <c r="L208" s="222" t="e">
        <f t="shared" si="6"/>
        <v>#REF!</v>
      </c>
      <c r="M208" s="262"/>
      <c r="N208" s="248"/>
      <c r="O208" s="192"/>
      <c r="P208" s="211">
        <f t="shared" si="7"/>
        <v>0</v>
      </c>
      <c r="Q208" s="124"/>
      <c r="R208" s="124"/>
      <c r="S208" s="128"/>
      <c r="T208" s="128"/>
      <c r="U208" s="128"/>
      <c r="V208" s="129"/>
      <c r="W208" s="128"/>
      <c r="X208" s="128"/>
      <c r="Y208" s="124"/>
      <c r="Z208" s="124"/>
      <c r="AA208" s="124"/>
    </row>
    <row r="209" s="103" customFormat="1" ht="24.75" customHeight="1" spans="1:27">
      <c r="A209" s="212"/>
      <c r="B209" s="213"/>
      <c r="C209" s="214"/>
      <c r="D209" s="254"/>
      <c r="E209" s="216" t="str">
        <f>IF(D209="","",VLOOKUP(D209,'[4]Account Code'!$A$3:$D$272,2,0))</f>
        <v/>
      </c>
      <c r="F209" s="217"/>
      <c r="G209" s="228"/>
      <c r="H209" s="228"/>
      <c r="I209" s="219">
        <f>IFERROR(VLOOKUP(O209,[4]CREDITORS!A:B,2,0),"")</f>
        <v>0</v>
      </c>
      <c r="J209" s="229"/>
      <c r="K209" s="250"/>
      <c r="L209" s="222" t="e">
        <f t="shared" si="6"/>
        <v>#REF!</v>
      </c>
      <c r="M209" s="262"/>
      <c r="N209" s="248"/>
      <c r="O209" s="192"/>
      <c r="P209" s="211">
        <f t="shared" si="7"/>
        <v>0</v>
      </c>
      <c r="Q209" s="124"/>
      <c r="R209" s="124"/>
      <c r="S209" s="128"/>
      <c r="T209" s="128"/>
      <c r="U209" s="128"/>
      <c r="V209" s="129"/>
      <c r="W209" s="128"/>
      <c r="X209" s="128"/>
      <c r="Y209" s="124"/>
      <c r="Z209" s="124"/>
      <c r="AA209" s="124"/>
    </row>
    <row r="210" s="103" customFormat="1" ht="24" customHeight="1" spans="1:27">
      <c r="A210" s="212"/>
      <c r="B210" s="213"/>
      <c r="C210" s="214"/>
      <c r="D210" s="254"/>
      <c r="E210" s="216" t="str">
        <f>IF(D210="","",VLOOKUP(D210,'[4]Account Code'!$A$3:$D$272,2,0))</f>
        <v/>
      </c>
      <c r="F210" s="217"/>
      <c r="G210" s="228"/>
      <c r="H210" s="228"/>
      <c r="I210" s="219">
        <f>IFERROR(VLOOKUP(O210,[4]CREDITORS!A:B,2,0),"")</f>
        <v>0</v>
      </c>
      <c r="J210" s="229"/>
      <c r="K210" s="250"/>
      <c r="L210" s="222" t="e">
        <f t="shared" si="6"/>
        <v>#REF!</v>
      </c>
      <c r="M210" s="262"/>
      <c r="N210" s="248"/>
      <c r="O210" s="192"/>
      <c r="P210" s="211">
        <f t="shared" si="7"/>
        <v>0</v>
      </c>
      <c r="Q210" s="124"/>
      <c r="R210" s="124"/>
      <c r="S210" s="128"/>
      <c r="T210" s="128"/>
      <c r="U210" s="128"/>
      <c r="V210" s="129"/>
      <c r="W210" s="128"/>
      <c r="X210" s="128"/>
      <c r="Y210" s="124"/>
      <c r="Z210" s="124"/>
      <c r="AA210" s="124"/>
    </row>
    <row r="211" s="103" customFormat="1" ht="24" customHeight="1" spans="1:27">
      <c r="A211" s="212"/>
      <c r="B211" s="213"/>
      <c r="C211" s="214"/>
      <c r="D211" s="254"/>
      <c r="E211" s="216" t="str">
        <f>IF(D211="","",VLOOKUP(D211,'[4]Account Code'!$A$3:$D$272,2,0))</f>
        <v/>
      </c>
      <c r="F211" s="217"/>
      <c r="G211" s="228"/>
      <c r="H211" s="228"/>
      <c r="I211" s="219">
        <f>IFERROR(VLOOKUP(O211,[4]CREDITORS!A:B,2,0),"")</f>
        <v>0</v>
      </c>
      <c r="J211" s="229"/>
      <c r="K211" s="250"/>
      <c r="L211" s="222" t="e">
        <f t="shared" si="6"/>
        <v>#REF!</v>
      </c>
      <c r="M211" s="262"/>
      <c r="N211" s="248"/>
      <c r="O211" s="192"/>
      <c r="P211" s="211">
        <f t="shared" si="7"/>
        <v>0</v>
      </c>
      <c r="Q211" s="124"/>
      <c r="R211" s="124"/>
      <c r="S211" s="128"/>
      <c r="T211" s="128"/>
      <c r="U211" s="128"/>
      <c r="V211" s="129"/>
      <c r="W211" s="128"/>
      <c r="X211" s="128"/>
      <c r="Y211" s="124"/>
      <c r="Z211" s="124"/>
      <c r="AA211" s="124"/>
    </row>
    <row r="212" s="103" customFormat="1" ht="24" customHeight="1" spans="1:27">
      <c r="A212" s="212"/>
      <c r="B212" s="213"/>
      <c r="C212" s="214"/>
      <c r="D212" s="254"/>
      <c r="E212" s="216" t="str">
        <f>IF(D212="","",VLOOKUP(D212,'[4]Account Code'!$A$3:$D$272,2,0))</f>
        <v/>
      </c>
      <c r="F212" s="217"/>
      <c r="G212" s="228"/>
      <c r="H212" s="228"/>
      <c r="I212" s="219">
        <f>IFERROR(VLOOKUP(O212,[4]CREDITORS!A:B,2,0),"")</f>
        <v>0</v>
      </c>
      <c r="J212" s="229"/>
      <c r="K212" s="250"/>
      <c r="L212" s="222" t="e">
        <f t="shared" si="6"/>
        <v>#REF!</v>
      </c>
      <c r="M212" s="262"/>
      <c r="N212" s="248"/>
      <c r="O212" s="192"/>
      <c r="P212" s="211">
        <f t="shared" si="7"/>
        <v>0</v>
      </c>
      <c r="Q212" s="124"/>
      <c r="R212" s="124"/>
      <c r="S212" s="128"/>
      <c r="T212" s="128"/>
      <c r="U212" s="128"/>
      <c r="V212" s="129"/>
      <c r="W212" s="128"/>
      <c r="X212" s="128"/>
      <c r="Y212" s="124"/>
      <c r="Z212" s="124"/>
      <c r="AA212" s="124"/>
    </row>
    <row r="213" s="103" customFormat="1" ht="24.75" customHeight="1" spans="1:27">
      <c r="A213" s="212"/>
      <c r="B213" s="213"/>
      <c r="C213" s="214"/>
      <c r="D213" s="254"/>
      <c r="E213" s="216" t="str">
        <f>IF(D213="","",VLOOKUP(D213,'[4]Account Code'!$A$3:$D$272,2,0))</f>
        <v/>
      </c>
      <c r="F213" s="217"/>
      <c r="G213" s="228"/>
      <c r="H213" s="228"/>
      <c r="I213" s="219">
        <f>IFERROR(VLOOKUP(O213,[4]CREDITORS!A:B,2,0),"")</f>
        <v>0</v>
      </c>
      <c r="J213" s="229"/>
      <c r="K213" s="250"/>
      <c r="L213" s="222" t="e">
        <f t="shared" si="6"/>
        <v>#REF!</v>
      </c>
      <c r="M213" s="262"/>
      <c r="N213" s="248"/>
      <c r="O213" s="192"/>
      <c r="P213" s="211">
        <f t="shared" si="7"/>
        <v>0</v>
      </c>
      <c r="Q213" s="124"/>
      <c r="R213" s="124"/>
      <c r="S213" s="128"/>
      <c r="T213" s="128"/>
      <c r="U213" s="128"/>
      <c r="V213" s="129"/>
      <c r="W213" s="128"/>
      <c r="X213" s="128"/>
      <c r="Y213" s="124"/>
      <c r="Z213" s="124"/>
      <c r="AA213" s="124"/>
    </row>
    <row r="214" s="103" customFormat="1" ht="24.75" customHeight="1" spans="1:27">
      <c r="A214" s="212"/>
      <c r="B214" s="213"/>
      <c r="C214" s="214"/>
      <c r="D214" s="254"/>
      <c r="E214" s="216" t="str">
        <f>IF(D214="","",VLOOKUP(D214,'[4]Account Code'!$A$3:$D$272,2,0))</f>
        <v/>
      </c>
      <c r="F214" s="217"/>
      <c r="G214" s="228"/>
      <c r="H214" s="228"/>
      <c r="I214" s="219">
        <f>IFERROR(VLOOKUP(O214,[4]CREDITORS!A:B,2,0),"")</f>
        <v>0</v>
      </c>
      <c r="J214" s="229"/>
      <c r="K214" s="250"/>
      <c r="L214" s="222" t="e">
        <f t="shared" si="6"/>
        <v>#REF!</v>
      </c>
      <c r="M214" s="262"/>
      <c r="N214" s="248"/>
      <c r="O214" s="192"/>
      <c r="P214" s="211">
        <f t="shared" si="7"/>
        <v>0</v>
      </c>
      <c r="Q214" s="124"/>
      <c r="R214" s="124"/>
      <c r="S214" s="128"/>
      <c r="T214" s="128"/>
      <c r="U214" s="128"/>
      <c r="V214" s="129"/>
      <c r="W214" s="128"/>
      <c r="X214" s="128"/>
      <c r="Y214" s="124"/>
      <c r="Z214" s="124"/>
      <c r="AA214" s="124"/>
    </row>
    <row r="215" s="103" customFormat="1" ht="24.75" customHeight="1" spans="1:27">
      <c r="A215" s="212"/>
      <c r="B215" s="213"/>
      <c r="C215" s="214"/>
      <c r="D215" s="254"/>
      <c r="E215" s="216" t="str">
        <f>IF(D215="","",VLOOKUP(D215,'[4]Account Code'!$A$3:$D$272,2,0))</f>
        <v/>
      </c>
      <c r="F215" s="217"/>
      <c r="G215" s="228"/>
      <c r="H215" s="228"/>
      <c r="I215" s="219">
        <f>IFERROR(VLOOKUP(O215,[4]CREDITORS!A:B,2,0),"")</f>
        <v>0</v>
      </c>
      <c r="J215" s="229"/>
      <c r="K215" s="250"/>
      <c r="L215" s="222" t="e">
        <f t="shared" si="6"/>
        <v>#REF!</v>
      </c>
      <c r="M215" s="262"/>
      <c r="N215" s="248"/>
      <c r="O215" s="192"/>
      <c r="P215" s="211">
        <f t="shared" si="7"/>
        <v>0</v>
      </c>
      <c r="Q215" s="124"/>
      <c r="R215" s="124"/>
      <c r="S215" s="128"/>
      <c r="T215" s="128"/>
      <c r="U215" s="128"/>
      <c r="V215" s="129"/>
      <c r="W215" s="128"/>
      <c r="X215" s="128"/>
      <c r="Y215" s="124"/>
      <c r="Z215" s="124"/>
      <c r="AA215" s="124"/>
    </row>
    <row r="216" s="103" customFormat="1" ht="24.75" customHeight="1" spans="1:27">
      <c r="A216" s="212"/>
      <c r="B216" s="213"/>
      <c r="C216" s="214"/>
      <c r="D216" s="254"/>
      <c r="E216" s="216" t="str">
        <f>IF(D216="","",VLOOKUP(D216,'[4]Account Code'!$A$3:$D$272,2,0))</f>
        <v/>
      </c>
      <c r="F216" s="217"/>
      <c r="G216" s="228"/>
      <c r="H216" s="228"/>
      <c r="I216" s="219">
        <f>IFERROR(VLOOKUP(O216,[4]CREDITORS!A:B,2,0),"")</f>
        <v>0</v>
      </c>
      <c r="J216" s="229"/>
      <c r="K216" s="250"/>
      <c r="L216" s="222" t="e">
        <f t="shared" si="6"/>
        <v>#REF!</v>
      </c>
      <c r="M216" s="262"/>
      <c r="N216" s="248"/>
      <c r="O216" s="192"/>
      <c r="P216" s="150"/>
      <c r="Q216" s="150"/>
      <c r="R216" s="211"/>
      <c r="S216" s="211"/>
      <c r="T216" s="128"/>
      <c r="U216" s="211"/>
      <c r="V216" s="225"/>
      <c r="W216" s="211"/>
      <c r="X216" s="211"/>
      <c r="Y216" s="124"/>
      <c r="Z216" s="124"/>
      <c r="AA216" s="124"/>
    </row>
    <row r="217" s="103" customFormat="1" ht="24.75" customHeight="1" spans="1:27">
      <c r="A217" s="212"/>
      <c r="B217" s="213"/>
      <c r="C217" s="214"/>
      <c r="D217" s="254"/>
      <c r="E217" s="216" t="str">
        <f>IF(D217="","",VLOOKUP(D217,'[4]Account Code'!$A$3:$D$272,2,0))</f>
        <v/>
      </c>
      <c r="F217" s="217"/>
      <c r="G217" s="228"/>
      <c r="H217" s="228"/>
      <c r="I217" s="219">
        <f>IFERROR(VLOOKUP(O217,[4]CREDITORS!A:B,2,0),"")</f>
        <v>0</v>
      </c>
      <c r="J217" s="229"/>
      <c r="K217" s="250"/>
      <c r="L217" s="222" t="e">
        <f t="shared" si="6"/>
        <v>#REF!</v>
      </c>
      <c r="M217" s="262"/>
      <c r="N217" s="248"/>
      <c r="O217" s="192"/>
      <c r="P217" s="150"/>
      <c r="Q217" s="150"/>
      <c r="R217" s="211"/>
      <c r="S217" s="211"/>
      <c r="T217" s="128"/>
      <c r="U217" s="211"/>
      <c r="V217" s="225"/>
      <c r="W217" s="211"/>
      <c r="X217" s="211"/>
      <c r="Y217" s="124"/>
      <c r="Z217" s="124"/>
      <c r="AA217" s="124"/>
    </row>
    <row r="218" s="103" customFormat="1" ht="24.75" customHeight="1" spans="1:27">
      <c r="A218" s="212"/>
      <c r="B218" s="213"/>
      <c r="C218" s="214"/>
      <c r="D218" s="254"/>
      <c r="E218" s="216" t="str">
        <f>IF(D218="","",VLOOKUP(D218,'[4]Account Code'!$A$3:$D$272,2,0))</f>
        <v/>
      </c>
      <c r="F218" s="217"/>
      <c r="G218" s="228"/>
      <c r="H218" s="228"/>
      <c r="I218" s="219">
        <f>IFERROR(VLOOKUP(O218,[4]CREDITORS!A:B,2,0),"")</f>
        <v>0</v>
      </c>
      <c r="J218" s="229"/>
      <c r="K218" s="250"/>
      <c r="L218" s="222" t="e">
        <f t="shared" si="6"/>
        <v>#REF!</v>
      </c>
      <c r="M218" s="262"/>
      <c r="N218" s="248"/>
      <c r="O218" s="192"/>
      <c r="P218" s="150"/>
      <c r="Q218" s="150"/>
      <c r="R218" s="211"/>
      <c r="S218" s="211"/>
      <c r="T218" s="128"/>
      <c r="U218" s="211"/>
      <c r="V218" s="225"/>
      <c r="W218" s="211"/>
      <c r="X218" s="211"/>
      <c r="Y218" s="124"/>
      <c r="Z218" s="124"/>
      <c r="AA218" s="124"/>
    </row>
    <row r="219" s="103" customFormat="1" ht="24.75" customHeight="1" spans="1:27">
      <c r="A219" s="212"/>
      <c r="B219" s="213"/>
      <c r="C219" s="214"/>
      <c r="D219" s="254"/>
      <c r="E219" s="216" t="str">
        <f>IF(D219="","",VLOOKUP(D219,'[4]Account Code'!$A$3:$D$272,2,0))</f>
        <v/>
      </c>
      <c r="F219" s="217"/>
      <c r="G219" s="228"/>
      <c r="H219" s="228"/>
      <c r="I219" s="219">
        <f>IFERROR(VLOOKUP(O219,[4]CREDITORS!A:B,2,0),"")</f>
        <v>0</v>
      </c>
      <c r="J219" s="229"/>
      <c r="K219" s="250"/>
      <c r="L219" s="222" t="e">
        <f t="shared" si="6"/>
        <v>#REF!</v>
      </c>
      <c r="M219" s="262"/>
      <c r="N219" s="248"/>
      <c r="O219" s="192"/>
      <c r="P219" s="150"/>
      <c r="Q219" s="150"/>
      <c r="R219" s="211"/>
      <c r="S219" s="211"/>
      <c r="T219" s="128"/>
      <c r="U219" s="211"/>
      <c r="V219" s="225"/>
      <c r="W219" s="211"/>
      <c r="X219" s="211"/>
      <c r="Y219" s="124"/>
      <c r="Z219" s="124"/>
      <c r="AA219" s="124"/>
    </row>
    <row r="220" s="103" customFormat="1" ht="24.75" customHeight="1" spans="1:27">
      <c r="A220" s="212"/>
      <c r="B220" s="213"/>
      <c r="C220" s="214"/>
      <c r="D220" s="254"/>
      <c r="E220" s="216" t="str">
        <f>IF(D220="","",VLOOKUP(D220,'[4]Account Code'!$A$3:$D$272,2,0))</f>
        <v/>
      </c>
      <c r="F220" s="217"/>
      <c r="G220" s="228"/>
      <c r="H220" s="228"/>
      <c r="I220" s="219">
        <f>IFERROR(VLOOKUP(O220,[4]CREDITORS!A:B,2,0),"")</f>
        <v>0</v>
      </c>
      <c r="J220" s="229"/>
      <c r="K220" s="250"/>
      <c r="L220" s="222" t="e">
        <f t="shared" si="6"/>
        <v>#REF!</v>
      </c>
      <c r="M220" s="262"/>
      <c r="N220" s="248"/>
      <c r="O220" s="192"/>
      <c r="P220" s="150"/>
      <c r="Q220" s="150"/>
      <c r="R220" s="211"/>
      <c r="S220" s="211"/>
      <c r="T220" s="128"/>
      <c r="U220" s="211"/>
      <c r="V220" s="225"/>
      <c r="W220" s="211"/>
      <c r="X220" s="211"/>
      <c r="Y220" s="124"/>
      <c r="Z220" s="124"/>
      <c r="AA220" s="124"/>
    </row>
    <row r="221" s="103" customFormat="1" ht="24.75" customHeight="1" spans="1:27">
      <c r="A221" s="212"/>
      <c r="B221" s="213"/>
      <c r="C221" s="214"/>
      <c r="D221" s="254"/>
      <c r="E221" s="216" t="str">
        <f>IF(D221="","",VLOOKUP(D221,'[4]Account Code'!$A$3:$D$272,2,0))</f>
        <v/>
      </c>
      <c r="F221" s="217"/>
      <c r="G221" s="228"/>
      <c r="H221" s="228"/>
      <c r="I221" s="219">
        <f>IFERROR(VLOOKUP(O221,[4]CREDITORS!A:B,2,0),"")</f>
        <v>0</v>
      </c>
      <c r="J221" s="229"/>
      <c r="K221" s="250"/>
      <c r="L221" s="222" t="e">
        <f t="shared" si="6"/>
        <v>#REF!</v>
      </c>
      <c r="M221" s="262"/>
      <c r="N221" s="248"/>
      <c r="O221" s="192"/>
      <c r="P221" s="150"/>
      <c r="Q221" s="150"/>
      <c r="R221" s="211"/>
      <c r="S221" s="211"/>
      <c r="T221" s="128"/>
      <c r="U221" s="211"/>
      <c r="V221" s="225"/>
      <c r="W221" s="211"/>
      <c r="X221" s="211"/>
      <c r="Y221" s="124"/>
      <c r="Z221" s="124"/>
      <c r="AA221" s="124"/>
    </row>
    <row r="222" s="103" customFormat="1" ht="24.75" customHeight="1" spans="1:27">
      <c r="A222" s="212"/>
      <c r="B222" s="213"/>
      <c r="C222" s="214"/>
      <c r="D222" s="254"/>
      <c r="E222" s="216" t="str">
        <f>IF(D222="","",VLOOKUP(D222,'[4]Account Code'!$A$3:$D$272,2,0))</f>
        <v/>
      </c>
      <c r="F222" s="217"/>
      <c r="G222" s="228"/>
      <c r="H222" s="228"/>
      <c r="I222" s="219">
        <f>IFERROR(VLOOKUP(O222,[4]CREDITORS!A:B,2,0),"")</f>
        <v>0</v>
      </c>
      <c r="J222" s="229"/>
      <c r="K222" s="250"/>
      <c r="L222" s="222" t="e">
        <f t="shared" si="6"/>
        <v>#REF!</v>
      </c>
      <c r="M222" s="262"/>
      <c r="N222" s="248"/>
      <c r="O222" s="192"/>
      <c r="P222" s="150"/>
      <c r="Q222" s="150"/>
      <c r="R222" s="211"/>
      <c r="S222" s="211"/>
      <c r="T222" s="128"/>
      <c r="U222" s="211"/>
      <c r="V222" s="225"/>
      <c r="W222" s="211"/>
      <c r="X222" s="211"/>
      <c r="Y222" s="124"/>
      <c r="Z222" s="124"/>
      <c r="AA222" s="124"/>
    </row>
    <row r="223" s="103" customFormat="1" ht="24.75" customHeight="1" spans="1:27">
      <c r="A223" s="212"/>
      <c r="B223" s="213"/>
      <c r="C223" s="214"/>
      <c r="D223" s="254"/>
      <c r="E223" s="216" t="str">
        <f>IF(D223="","",VLOOKUP(D223,'[4]Account Code'!$A$3:$D$272,2,0))</f>
        <v/>
      </c>
      <c r="F223" s="217"/>
      <c r="G223" s="228"/>
      <c r="H223" s="228"/>
      <c r="I223" s="219">
        <f>IFERROR(VLOOKUP(O223,[4]CREDITORS!A:B,2,0),"")</f>
        <v>0</v>
      </c>
      <c r="J223" s="229"/>
      <c r="K223" s="250"/>
      <c r="L223" s="222" t="e">
        <f t="shared" si="6"/>
        <v>#REF!</v>
      </c>
      <c r="M223" s="262"/>
      <c r="N223" s="248"/>
      <c r="O223" s="192"/>
      <c r="P223" s="150"/>
      <c r="Q223" s="150"/>
      <c r="R223" s="211"/>
      <c r="S223" s="211"/>
      <c r="T223" s="128"/>
      <c r="U223" s="211"/>
      <c r="V223" s="225"/>
      <c r="W223" s="211"/>
      <c r="X223" s="211"/>
      <c r="Y223" s="124"/>
      <c r="Z223" s="124"/>
      <c r="AA223" s="124"/>
    </row>
    <row r="224" s="103" customFormat="1" ht="24.75" customHeight="1" spans="1:27">
      <c r="A224" s="212"/>
      <c r="B224" s="213"/>
      <c r="C224" s="214"/>
      <c r="D224" s="254"/>
      <c r="E224" s="216" t="str">
        <f>IF(D224="","",VLOOKUP(D224,'[4]Account Code'!$A$3:$D$272,2,0))</f>
        <v/>
      </c>
      <c r="F224" s="217"/>
      <c r="G224" s="228"/>
      <c r="H224" s="228"/>
      <c r="I224" s="219">
        <f>IFERROR(VLOOKUP(O224,[4]CREDITORS!A:B,2,0),"")</f>
        <v>0</v>
      </c>
      <c r="J224" s="229"/>
      <c r="K224" s="250"/>
      <c r="L224" s="222" t="e">
        <f t="shared" si="6"/>
        <v>#REF!</v>
      </c>
      <c r="M224" s="262"/>
      <c r="N224" s="248"/>
      <c r="O224" s="192"/>
      <c r="P224" s="150"/>
      <c r="Q224" s="150"/>
      <c r="R224" s="211"/>
      <c r="S224" s="211"/>
      <c r="T224" s="128"/>
      <c r="U224" s="211"/>
      <c r="V224" s="225"/>
      <c r="W224" s="211"/>
      <c r="X224" s="211"/>
      <c r="Y224" s="124"/>
      <c r="Z224" s="124"/>
      <c r="AA224" s="124"/>
    </row>
    <row r="225" s="103" customFormat="1" ht="24.75" customHeight="1" spans="1:27">
      <c r="A225" s="212"/>
      <c r="B225" s="213"/>
      <c r="C225" s="214"/>
      <c r="D225" s="254"/>
      <c r="E225" s="216" t="str">
        <f>IF(D225="","",VLOOKUP(D225,'[4]Account Code'!$A$3:$D$272,2,0))</f>
        <v/>
      </c>
      <c r="F225" s="217"/>
      <c r="G225" s="228"/>
      <c r="H225" s="228"/>
      <c r="I225" s="219">
        <f>IFERROR(VLOOKUP(O225,[4]CREDITORS!A:B,2,0),"")</f>
        <v>0</v>
      </c>
      <c r="J225" s="229"/>
      <c r="K225" s="250"/>
      <c r="L225" s="222" t="e">
        <f t="shared" si="6"/>
        <v>#REF!</v>
      </c>
      <c r="M225" s="262"/>
      <c r="N225" s="248"/>
      <c r="O225" s="192"/>
      <c r="P225" s="150"/>
      <c r="Q225" s="150"/>
      <c r="R225" s="211"/>
      <c r="S225" s="211"/>
      <c r="T225" s="128"/>
      <c r="U225" s="211"/>
      <c r="V225" s="225"/>
      <c r="W225" s="211"/>
      <c r="X225" s="211"/>
      <c r="Y225" s="124"/>
      <c r="Z225" s="124"/>
      <c r="AA225" s="124"/>
    </row>
    <row r="226" s="103" customFormat="1" ht="24.75" customHeight="1" spans="1:27">
      <c r="A226" s="212"/>
      <c r="B226" s="213"/>
      <c r="C226" s="214"/>
      <c r="D226" s="254"/>
      <c r="E226" s="216" t="str">
        <f>IF(D226="","",VLOOKUP(D226,'[4]Account Code'!$A$3:$D$272,2,0))</f>
        <v/>
      </c>
      <c r="F226" s="217"/>
      <c r="G226" s="228"/>
      <c r="H226" s="228"/>
      <c r="I226" s="219">
        <f>IFERROR(VLOOKUP(O226,[4]CREDITORS!A:B,2,0),"")</f>
        <v>0</v>
      </c>
      <c r="J226" s="229"/>
      <c r="K226" s="250"/>
      <c r="L226" s="222" t="e">
        <f t="shared" si="6"/>
        <v>#REF!</v>
      </c>
      <c r="M226" s="262"/>
      <c r="N226" s="248"/>
      <c r="O226" s="192"/>
      <c r="P226" s="150"/>
      <c r="Q226" s="150"/>
      <c r="R226" s="211"/>
      <c r="S226" s="211"/>
      <c r="T226" s="128"/>
      <c r="U226" s="211"/>
      <c r="V226" s="225"/>
      <c r="W226" s="211"/>
      <c r="X226" s="211"/>
      <c r="Y226" s="124"/>
      <c r="Z226" s="124"/>
      <c r="AA226" s="124"/>
    </row>
    <row r="227" s="103" customFormat="1" spans="1:27">
      <c r="A227" s="128"/>
      <c r="B227" s="124"/>
      <c r="C227" s="241"/>
      <c r="D227" s="239"/>
      <c r="E227" s="216"/>
      <c r="F227" s="217"/>
      <c r="G227" s="228"/>
      <c r="H227" s="228"/>
      <c r="I227" s="241"/>
      <c r="J227" s="229"/>
      <c r="K227" s="250"/>
      <c r="L227" s="272"/>
      <c r="M227" s="227"/>
      <c r="N227" s="224"/>
      <c r="O227" s="211"/>
      <c r="P227" s="150"/>
      <c r="Q227" s="150"/>
      <c r="R227" s="211"/>
      <c r="S227" s="211"/>
      <c r="T227" s="128"/>
      <c r="U227" s="211"/>
      <c r="V227" s="225"/>
      <c r="W227" s="211"/>
      <c r="X227" s="211"/>
      <c r="Y227" s="124"/>
      <c r="Z227" s="124"/>
      <c r="AA227" s="124"/>
    </row>
    <row r="228" s="103" customFormat="1" spans="1:27">
      <c r="A228" s="128"/>
      <c r="B228" s="124"/>
      <c r="C228" s="241"/>
      <c r="D228" s="239"/>
      <c r="E228" s="216"/>
      <c r="F228" s="217"/>
      <c r="G228" s="228"/>
      <c r="H228" s="228"/>
      <c r="I228" s="241"/>
      <c r="J228" s="221"/>
      <c r="K228" s="221"/>
      <c r="L228" s="272"/>
      <c r="M228" s="227"/>
      <c r="N228" s="224"/>
      <c r="O228" s="211"/>
      <c r="P228" s="150"/>
      <c r="Q228" s="150"/>
      <c r="R228" s="211"/>
      <c r="S228" s="211"/>
      <c r="T228" s="128"/>
      <c r="U228" s="211"/>
      <c r="V228" s="225"/>
      <c r="W228" s="211"/>
      <c r="X228" s="211"/>
      <c r="Y228" s="124"/>
      <c r="Z228" s="124"/>
      <c r="AA228" s="124"/>
    </row>
    <row r="229" s="103" customFormat="1" spans="1:27">
      <c r="A229" s="128"/>
      <c r="B229" s="124"/>
      <c r="C229" s="241"/>
      <c r="D229" s="239"/>
      <c r="E229" s="216"/>
      <c r="F229" s="217"/>
      <c r="G229" s="232"/>
      <c r="H229" s="232"/>
      <c r="I229" s="241"/>
      <c r="J229" s="221"/>
      <c r="K229" s="221"/>
      <c r="L229" s="272"/>
      <c r="M229" s="227"/>
      <c r="N229" s="224"/>
      <c r="O229" s="139"/>
      <c r="P229" s="150"/>
      <c r="Q229" s="150"/>
      <c r="R229" s="211"/>
      <c r="S229" s="211"/>
      <c r="T229" s="128"/>
      <c r="U229" s="211"/>
      <c r="V229" s="225"/>
      <c r="W229" s="211"/>
      <c r="X229" s="211"/>
      <c r="Y229" s="124"/>
      <c r="Z229" s="124"/>
      <c r="AA229" s="124"/>
    </row>
    <row r="230" s="103" customFormat="1" spans="1:27">
      <c r="A230" s="128"/>
      <c r="B230" s="124"/>
      <c r="C230" s="241"/>
      <c r="D230" s="239"/>
      <c r="E230" s="216"/>
      <c r="F230" s="217"/>
      <c r="G230" s="232"/>
      <c r="H230" s="232"/>
      <c r="I230" s="241"/>
      <c r="J230" s="221"/>
      <c r="K230" s="221"/>
      <c r="L230" s="272"/>
      <c r="M230" s="227"/>
      <c r="N230" s="224"/>
      <c r="O230" s="139"/>
      <c r="P230" s="150"/>
      <c r="Q230" s="150"/>
      <c r="R230" s="211"/>
      <c r="S230" s="211"/>
      <c r="T230" s="128"/>
      <c r="U230" s="211"/>
      <c r="V230" s="225"/>
      <c r="W230" s="211"/>
      <c r="X230" s="211"/>
      <c r="Y230" s="124"/>
      <c r="Z230" s="124"/>
      <c r="AA230" s="124"/>
    </row>
    <row r="231" s="103" customFormat="1" spans="1:27">
      <c r="A231" s="128"/>
      <c r="B231" s="124"/>
      <c r="C231" s="241"/>
      <c r="D231" s="256"/>
      <c r="E231" s="216"/>
      <c r="F231" s="217"/>
      <c r="G231" s="232"/>
      <c r="H231" s="232"/>
      <c r="I231" s="241"/>
      <c r="J231" s="229"/>
      <c r="K231" s="250"/>
      <c r="L231" s="272"/>
      <c r="M231" s="227"/>
      <c r="N231" s="224"/>
      <c r="O231" s="211"/>
      <c r="P231" s="150"/>
      <c r="Q231" s="150"/>
      <c r="R231" s="211"/>
      <c r="S231" s="211"/>
      <c r="T231" s="128"/>
      <c r="U231" s="211"/>
      <c r="V231" s="225"/>
      <c r="W231" s="211"/>
      <c r="X231" s="211"/>
      <c r="Y231" s="124"/>
      <c r="Z231" s="124"/>
      <c r="AA231" s="124"/>
    </row>
    <row r="232" s="103" customFormat="1" spans="1:27">
      <c r="A232" s="128"/>
      <c r="B232" s="124"/>
      <c r="C232" s="241"/>
      <c r="D232" s="254"/>
      <c r="E232" s="216"/>
      <c r="F232" s="217"/>
      <c r="G232" s="232"/>
      <c r="H232" s="232"/>
      <c r="I232" s="241"/>
      <c r="J232" s="221"/>
      <c r="K232" s="221"/>
      <c r="L232" s="272"/>
      <c r="M232" s="227"/>
      <c r="N232" s="224"/>
      <c r="O232" s="211"/>
      <c r="P232" s="150"/>
      <c r="Q232" s="150"/>
      <c r="R232" s="211"/>
      <c r="S232" s="211"/>
      <c r="T232" s="128"/>
      <c r="U232" s="211"/>
      <c r="V232" s="225"/>
      <c r="W232" s="211"/>
      <c r="X232" s="211"/>
      <c r="Y232" s="124"/>
      <c r="Z232" s="124"/>
      <c r="AA232" s="124"/>
    </row>
    <row r="233" s="103" customFormat="1" spans="1:27">
      <c r="A233" s="128"/>
      <c r="B233" s="124"/>
      <c r="C233" s="241"/>
      <c r="D233" s="256"/>
      <c r="E233" s="216"/>
      <c r="F233" s="217"/>
      <c r="G233" s="232"/>
      <c r="H233" s="232"/>
      <c r="I233" s="241"/>
      <c r="J233" s="221"/>
      <c r="K233" s="221"/>
      <c r="L233" s="272"/>
      <c r="M233" s="227"/>
      <c r="N233" s="224"/>
      <c r="O233" s="139"/>
      <c r="P233" s="150"/>
      <c r="Q233" s="150"/>
      <c r="R233" s="211"/>
      <c r="S233" s="211"/>
      <c r="T233" s="128"/>
      <c r="U233" s="211"/>
      <c r="V233" s="225"/>
      <c r="W233" s="211"/>
      <c r="X233" s="211"/>
      <c r="Y233" s="124"/>
      <c r="Z233" s="124"/>
      <c r="AA233" s="124"/>
    </row>
    <row r="234" s="103" customFormat="1" spans="1:27">
      <c r="A234" s="128"/>
      <c r="B234" s="124"/>
      <c r="C234" s="241"/>
      <c r="D234" s="256"/>
      <c r="E234" s="216"/>
      <c r="F234" s="217"/>
      <c r="G234" s="232"/>
      <c r="H234" s="232"/>
      <c r="I234" s="241"/>
      <c r="J234" s="221"/>
      <c r="K234" s="221"/>
      <c r="L234" s="272"/>
      <c r="M234" s="227"/>
      <c r="N234" s="224"/>
      <c r="O234" s="139"/>
      <c r="P234" s="150"/>
      <c r="Q234" s="150"/>
      <c r="R234" s="211"/>
      <c r="S234" s="211"/>
      <c r="T234" s="128"/>
      <c r="U234" s="211"/>
      <c r="V234" s="225"/>
      <c r="W234" s="211"/>
      <c r="X234" s="211"/>
      <c r="Y234" s="124"/>
      <c r="Z234" s="124"/>
      <c r="AA234" s="124"/>
    </row>
    <row r="235" s="103" customFormat="1" spans="1:27">
      <c r="A235" s="128"/>
      <c r="B235" s="124"/>
      <c r="C235" s="241"/>
      <c r="D235" s="256"/>
      <c r="E235" s="216"/>
      <c r="F235" s="217"/>
      <c r="G235" s="232"/>
      <c r="H235" s="232"/>
      <c r="I235" s="241"/>
      <c r="J235" s="221"/>
      <c r="K235" s="221"/>
      <c r="L235" s="272"/>
      <c r="M235" s="227"/>
      <c r="N235" s="224"/>
      <c r="O235" s="211"/>
      <c r="P235" s="150"/>
      <c r="Q235" s="150"/>
      <c r="R235" s="211"/>
      <c r="S235" s="211"/>
      <c r="T235" s="128"/>
      <c r="U235" s="211"/>
      <c r="V235" s="225"/>
      <c r="W235" s="211"/>
      <c r="X235" s="211"/>
      <c r="Y235" s="124"/>
      <c r="Z235" s="124"/>
      <c r="AA235" s="124"/>
    </row>
    <row r="236" s="103" customFormat="1" spans="1:27">
      <c r="A236" s="128"/>
      <c r="B236" s="124"/>
      <c r="C236" s="241"/>
      <c r="D236" s="256"/>
      <c r="E236" s="216"/>
      <c r="F236" s="217"/>
      <c r="G236" s="232"/>
      <c r="H236" s="232"/>
      <c r="I236" s="241"/>
      <c r="J236" s="229"/>
      <c r="K236" s="250"/>
      <c r="L236" s="272"/>
      <c r="M236" s="227"/>
      <c r="N236" s="224"/>
      <c r="O236" s="211"/>
      <c r="P236" s="150"/>
      <c r="Q236" s="150"/>
      <c r="R236" s="211"/>
      <c r="S236" s="211"/>
      <c r="T236" s="128"/>
      <c r="U236" s="211"/>
      <c r="V236" s="225"/>
      <c r="W236" s="211"/>
      <c r="X236" s="211"/>
      <c r="Y236" s="124"/>
      <c r="Z236" s="124"/>
      <c r="AA236" s="124"/>
    </row>
    <row r="237" s="103" customFormat="1" spans="1:27">
      <c r="A237" s="128"/>
      <c r="B237" s="124"/>
      <c r="C237" s="214"/>
      <c r="D237" s="254"/>
      <c r="E237" s="216"/>
      <c r="F237" s="217"/>
      <c r="G237" s="228"/>
      <c r="H237" s="228"/>
      <c r="I237" s="241"/>
      <c r="J237" s="229"/>
      <c r="K237" s="229"/>
      <c r="L237" s="272"/>
      <c r="M237" s="227"/>
      <c r="N237" s="224"/>
      <c r="O237" s="139"/>
      <c r="P237" s="150"/>
      <c r="Q237" s="150"/>
      <c r="R237" s="211"/>
      <c r="S237" s="211"/>
      <c r="T237" s="128"/>
      <c r="U237" s="211"/>
      <c r="V237" s="225"/>
      <c r="W237" s="211"/>
      <c r="X237" s="211"/>
      <c r="Y237" s="124"/>
      <c r="Z237" s="124"/>
      <c r="AA237" s="124"/>
    </row>
    <row r="238" s="103" customFormat="1" spans="1:27">
      <c r="A238" s="128"/>
      <c r="B238" s="124"/>
      <c r="C238" s="214"/>
      <c r="D238" s="254"/>
      <c r="E238" s="216"/>
      <c r="F238" s="217"/>
      <c r="G238" s="228"/>
      <c r="H238" s="228"/>
      <c r="I238" s="241"/>
      <c r="J238" s="221"/>
      <c r="K238" s="221"/>
      <c r="L238" s="272"/>
      <c r="M238" s="227"/>
      <c r="N238" s="224"/>
      <c r="O238" s="139"/>
      <c r="P238" s="150"/>
      <c r="Q238" s="150"/>
      <c r="R238" s="211"/>
      <c r="S238" s="211"/>
      <c r="T238" s="128"/>
      <c r="U238" s="211"/>
      <c r="V238" s="225"/>
      <c r="W238" s="211"/>
      <c r="X238" s="211"/>
      <c r="Y238" s="124"/>
      <c r="Z238" s="124"/>
      <c r="AA238" s="124"/>
    </row>
    <row r="239" s="103" customFormat="1" spans="1:27">
      <c r="A239" s="128"/>
      <c r="B239" s="124"/>
      <c r="C239" s="214"/>
      <c r="D239" s="254"/>
      <c r="E239" s="216"/>
      <c r="F239" s="217"/>
      <c r="G239" s="228"/>
      <c r="H239" s="228"/>
      <c r="I239" s="241"/>
      <c r="J239" s="221"/>
      <c r="K239" s="221"/>
      <c r="L239" s="272"/>
      <c r="M239" s="227"/>
      <c r="N239" s="224"/>
      <c r="O239" s="139"/>
      <c r="P239" s="150"/>
      <c r="Q239" s="150"/>
      <c r="R239" s="211"/>
      <c r="S239" s="211"/>
      <c r="T239" s="128"/>
      <c r="U239" s="211"/>
      <c r="V239" s="225"/>
      <c r="W239" s="211"/>
      <c r="X239" s="211"/>
      <c r="Y239" s="124"/>
      <c r="Z239" s="124"/>
      <c r="AA239" s="124"/>
    </row>
    <row r="240" s="103" customFormat="1" spans="1:27">
      <c r="A240" s="128"/>
      <c r="B240" s="124"/>
      <c r="C240" s="214"/>
      <c r="D240" s="254"/>
      <c r="E240" s="216"/>
      <c r="F240" s="217"/>
      <c r="G240" s="228"/>
      <c r="H240" s="228"/>
      <c r="I240" s="241"/>
      <c r="J240" s="229"/>
      <c r="K240" s="229"/>
      <c r="L240" s="272"/>
      <c r="M240" s="227"/>
      <c r="N240" s="224"/>
      <c r="O240" s="139"/>
      <c r="P240" s="150"/>
      <c r="Q240" s="150"/>
      <c r="R240" s="211"/>
      <c r="S240" s="211"/>
      <c r="T240" s="128"/>
      <c r="U240" s="211"/>
      <c r="V240" s="225"/>
      <c r="W240" s="211"/>
      <c r="X240" s="211"/>
      <c r="Y240" s="124"/>
      <c r="Z240" s="124"/>
      <c r="AA240" s="124"/>
    </row>
    <row r="241" s="103" customFormat="1" spans="1:27">
      <c r="A241" s="128"/>
      <c r="B241" s="124"/>
      <c r="C241" s="241"/>
      <c r="D241" s="239"/>
      <c r="E241" s="216"/>
      <c r="F241" s="217"/>
      <c r="G241" s="232"/>
      <c r="H241" s="232"/>
      <c r="I241" s="241"/>
      <c r="J241" s="221"/>
      <c r="K241" s="221"/>
      <c r="L241" s="272"/>
      <c r="M241" s="227"/>
      <c r="N241" s="224"/>
      <c r="O241" s="211"/>
      <c r="P241" s="150"/>
      <c r="Q241" s="150"/>
      <c r="R241" s="211"/>
      <c r="S241" s="211"/>
      <c r="T241" s="128"/>
      <c r="U241" s="211"/>
      <c r="V241" s="225"/>
      <c r="W241" s="211"/>
      <c r="X241" s="211"/>
      <c r="Y241" s="124"/>
      <c r="Z241" s="124"/>
      <c r="AA241" s="124"/>
    </row>
    <row r="242" s="103" customFormat="1" spans="1:27">
      <c r="A242" s="128"/>
      <c r="B242" s="124"/>
      <c r="C242" s="241"/>
      <c r="D242" s="239"/>
      <c r="E242" s="216"/>
      <c r="F242" s="217"/>
      <c r="G242" s="232"/>
      <c r="H242" s="232"/>
      <c r="I242" s="241"/>
      <c r="J242" s="221"/>
      <c r="K242" s="221"/>
      <c r="L242" s="272"/>
      <c r="M242" s="227"/>
      <c r="N242" s="224"/>
      <c r="O242" s="211"/>
      <c r="P242" s="150"/>
      <c r="Q242" s="150"/>
      <c r="R242" s="211"/>
      <c r="S242" s="211"/>
      <c r="T242" s="128"/>
      <c r="U242" s="211"/>
      <c r="V242" s="225"/>
      <c r="W242" s="211"/>
      <c r="X242" s="211"/>
      <c r="Y242" s="124"/>
      <c r="Z242" s="124"/>
      <c r="AA242" s="124"/>
    </row>
    <row r="243" s="103" customFormat="1" spans="1:27">
      <c r="A243" s="128"/>
      <c r="B243" s="124"/>
      <c r="C243" s="214"/>
      <c r="D243" s="256"/>
      <c r="E243" s="216"/>
      <c r="F243" s="217"/>
      <c r="G243" s="228"/>
      <c r="H243" s="228"/>
      <c r="I243" s="241"/>
      <c r="J243" s="221"/>
      <c r="K243" s="221"/>
      <c r="L243" s="272"/>
      <c r="M243" s="227"/>
      <c r="N243" s="224"/>
      <c r="O243" s="139"/>
      <c r="P243" s="150"/>
      <c r="Q243" s="150"/>
      <c r="R243" s="211"/>
      <c r="S243" s="211"/>
      <c r="T243" s="128"/>
      <c r="U243" s="211"/>
      <c r="V243" s="225"/>
      <c r="W243" s="211"/>
      <c r="X243" s="211"/>
      <c r="Y243" s="124"/>
      <c r="Z243" s="124"/>
      <c r="AA243" s="124"/>
    </row>
    <row r="244" s="103" customFormat="1" spans="1:27">
      <c r="A244" s="128"/>
      <c r="B244" s="124"/>
      <c r="C244" s="214"/>
      <c r="D244" s="256"/>
      <c r="E244" s="216"/>
      <c r="F244" s="217"/>
      <c r="G244" s="228"/>
      <c r="H244" s="228"/>
      <c r="I244" s="241"/>
      <c r="J244" s="221"/>
      <c r="K244" s="221"/>
      <c r="L244" s="272"/>
      <c r="M244" s="227"/>
      <c r="N244" s="224"/>
      <c r="O244" s="139"/>
      <c r="P244" s="150"/>
      <c r="Q244" s="150"/>
      <c r="R244" s="211"/>
      <c r="S244" s="211"/>
      <c r="T244" s="128"/>
      <c r="U244" s="211"/>
      <c r="V244" s="225"/>
      <c r="W244" s="211"/>
      <c r="X244" s="211"/>
      <c r="Y244" s="124"/>
      <c r="Z244" s="124"/>
      <c r="AA244" s="124"/>
    </row>
    <row r="245" s="103" customFormat="1" spans="1:27">
      <c r="A245" s="128"/>
      <c r="B245" s="124"/>
      <c r="C245" s="241"/>
      <c r="D245" s="256"/>
      <c r="E245" s="216"/>
      <c r="F245" s="217"/>
      <c r="G245" s="232"/>
      <c r="H245" s="232"/>
      <c r="I245" s="241"/>
      <c r="J245" s="221"/>
      <c r="K245" s="221"/>
      <c r="L245" s="272"/>
      <c r="M245" s="227"/>
      <c r="N245" s="224"/>
      <c r="O245" s="139"/>
      <c r="P245" s="150"/>
      <c r="Q245" s="150"/>
      <c r="R245" s="211"/>
      <c r="S245" s="211"/>
      <c r="T245" s="128"/>
      <c r="U245" s="211"/>
      <c r="V245" s="225"/>
      <c r="W245" s="211"/>
      <c r="X245" s="211"/>
      <c r="Y245" s="124"/>
      <c r="Z245" s="124"/>
      <c r="AA245" s="124"/>
    </row>
    <row r="246" s="103" customFormat="1" spans="1:27">
      <c r="A246" s="128"/>
      <c r="B246" s="124"/>
      <c r="C246" s="241"/>
      <c r="D246" s="256"/>
      <c r="E246" s="216"/>
      <c r="F246" s="217"/>
      <c r="G246" s="232"/>
      <c r="H246" s="232"/>
      <c r="I246" s="241"/>
      <c r="J246" s="221"/>
      <c r="K246" s="221"/>
      <c r="L246" s="272"/>
      <c r="M246" s="227"/>
      <c r="N246" s="224"/>
      <c r="O246" s="139"/>
      <c r="P246" s="150"/>
      <c r="Q246" s="150"/>
      <c r="R246" s="211"/>
      <c r="S246" s="211"/>
      <c r="T246" s="128"/>
      <c r="U246" s="211"/>
      <c r="V246" s="225"/>
      <c r="W246" s="211"/>
      <c r="X246" s="211"/>
      <c r="Y246" s="124"/>
      <c r="Z246" s="124"/>
      <c r="AA246" s="124"/>
    </row>
    <row r="247" s="103" customFormat="1" spans="1:27">
      <c r="A247" s="128"/>
      <c r="B247" s="124"/>
      <c r="C247" s="119"/>
      <c r="D247" s="160"/>
      <c r="E247" s="124"/>
      <c r="F247" s="119"/>
      <c r="G247" s="119"/>
      <c r="H247" s="119"/>
      <c r="I247" s="119"/>
      <c r="J247" s="273"/>
      <c r="K247" s="274"/>
      <c r="L247" s="123"/>
      <c r="M247" s="124"/>
      <c r="N247" s="150"/>
      <c r="O247" s="192"/>
      <c r="P247" s="211"/>
      <c r="Q247" s="124"/>
      <c r="R247" s="124"/>
      <c r="S247" s="128"/>
      <c r="T247" s="128"/>
      <c r="U247" s="128"/>
      <c r="V247" s="129"/>
      <c r="W247" s="128"/>
      <c r="X247" s="128"/>
      <c r="Y247" s="124"/>
      <c r="Z247" s="124"/>
      <c r="AA247" s="124"/>
    </row>
    <row r="248" s="103" customFormat="1" spans="1:27">
      <c r="A248" s="128"/>
      <c r="B248" s="124"/>
      <c r="C248" s="119"/>
      <c r="D248" s="160"/>
      <c r="E248" s="124"/>
      <c r="F248" s="119"/>
      <c r="G248" s="119"/>
      <c r="H248" s="119"/>
      <c r="I248" s="119"/>
      <c r="J248" s="273"/>
      <c r="K248" s="274"/>
      <c r="L248" s="123"/>
      <c r="M248" s="124"/>
      <c r="N248" s="150"/>
      <c r="O248" s="192"/>
      <c r="P248" s="211"/>
      <c r="Q248" s="124"/>
      <c r="R248" s="124"/>
      <c r="S248" s="128"/>
      <c r="T248" s="128"/>
      <c r="U248" s="128"/>
      <c r="V248" s="129"/>
      <c r="W248" s="128"/>
      <c r="X248" s="128"/>
      <c r="Y248" s="124"/>
      <c r="Z248" s="124"/>
      <c r="AA248" s="124"/>
    </row>
    <row r="249" s="103" customFormat="1" spans="1:27">
      <c r="A249" s="128"/>
      <c r="B249" s="124"/>
      <c r="C249" s="119"/>
      <c r="D249" s="160"/>
      <c r="E249" s="124"/>
      <c r="F249" s="119"/>
      <c r="G249" s="119"/>
      <c r="H249" s="119"/>
      <c r="I249" s="119"/>
      <c r="J249" s="273"/>
      <c r="K249" s="274"/>
      <c r="L249" s="123"/>
      <c r="M249" s="124"/>
      <c r="N249" s="150"/>
      <c r="O249" s="192"/>
      <c r="P249" s="211"/>
      <c r="Q249" s="124"/>
      <c r="R249" s="124"/>
      <c r="S249" s="128"/>
      <c r="T249" s="128"/>
      <c r="U249" s="128"/>
      <c r="V249" s="129"/>
      <c r="W249" s="128"/>
      <c r="X249" s="128"/>
      <c r="Y249" s="124"/>
      <c r="Z249" s="124"/>
      <c r="AA249" s="124"/>
    </row>
    <row r="250" s="103" customFormat="1" spans="1:27">
      <c r="A250" s="128"/>
      <c r="B250" s="124"/>
      <c r="C250" s="119"/>
      <c r="D250" s="160"/>
      <c r="E250" s="124"/>
      <c r="F250" s="119"/>
      <c r="G250" s="119"/>
      <c r="H250" s="119"/>
      <c r="I250" s="119"/>
      <c r="J250" s="273"/>
      <c r="K250" s="274"/>
      <c r="L250" s="123"/>
      <c r="M250" s="124"/>
      <c r="N250" s="150"/>
      <c r="O250" s="192"/>
      <c r="P250" s="211"/>
      <c r="Q250" s="124"/>
      <c r="R250" s="124"/>
      <c r="S250" s="128"/>
      <c r="T250" s="128"/>
      <c r="U250" s="128"/>
      <c r="V250" s="129"/>
      <c r="W250" s="128"/>
      <c r="X250" s="128"/>
      <c r="Y250" s="124"/>
      <c r="Z250" s="124"/>
      <c r="AA250" s="124"/>
    </row>
    <row r="251" s="103" customFormat="1" spans="1:27">
      <c r="A251" s="128"/>
      <c r="B251" s="124"/>
      <c r="C251" s="119"/>
      <c r="D251" s="160"/>
      <c r="E251" s="124"/>
      <c r="F251" s="119"/>
      <c r="G251" s="119"/>
      <c r="H251" s="119"/>
      <c r="I251" s="119"/>
      <c r="J251" s="273"/>
      <c r="K251" s="274"/>
      <c r="L251" s="123"/>
      <c r="M251" s="124"/>
      <c r="N251" s="150"/>
      <c r="O251" s="192"/>
      <c r="P251" s="211"/>
      <c r="Q251" s="124"/>
      <c r="R251" s="124"/>
      <c r="S251" s="128"/>
      <c r="T251" s="128"/>
      <c r="U251" s="128"/>
      <c r="V251" s="129"/>
      <c r="W251" s="128"/>
      <c r="X251" s="128"/>
      <c r="Y251" s="124"/>
      <c r="Z251" s="124"/>
      <c r="AA251" s="124"/>
    </row>
    <row r="252" s="103" customFormat="1" spans="1:27">
      <c r="A252" s="128"/>
      <c r="B252" s="124"/>
      <c r="C252" s="119"/>
      <c r="D252" s="160"/>
      <c r="E252" s="124"/>
      <c r="F252" s="119"/>
      <c r="G252" s="119"/>
      <c r="H252" s="119"/>
      <c r="I252" s="119"/>
      <c r="J252" s="273"/>
      <c r="K252" s="274"/>
      <c r="L252" s="123"/>
      <c r="M252" s="124"/>
      <c r="N252" s="150"/>
      <c r="O252" s="192"/>
      <c r="P252" s="211"/>
      <c r="Q252" s="124"/>
      <c r="R252" s="124"/>
      <c r="S252" s="128"/>
      <c r="T252" s="128"/>
      <c r="U252" s="128"/>
      <c r="V252" s="129"/>
      <c r="W252" s="128"/>
      <c r="X252" s="128"/>
      <c r="Y252" s="124"/>
      <c r="Z252" s="124"/>
      <c r="AA252" s="124"/>
    </row>
    <row r="253" s="103" customFormat="1" spans="1:27">
      <c r="A253" s="128"/>
      <c r="B253" s="124"/>
      <c r="C253" s="119"/>
      <c r="D253" s="160"/>
      <c r="E253" s="124"/>
      <c r="F253" s="119"/>
      <c r="G253" s="119"/>
      <c r="H253" s="119"/>
      <c r="I253" s="119"/>
      <c r="J253" s="273"/>
      <c r="K253" s="274"/>
      <c r="L253" s="123"/>
      <c r="M253" s="124"/>
      <c r="N253" s="150"/>
      <c r="O253" s="192"/>
      <c r="P253" s="211"/>
      <c r="Q253" s="124"/>
      <c r="R253" s="124"/>
      <c r="S253" s="128"/>
      <c r="T253" s="128"/>
      <c r="U253" s="128"/>
      <c r="V253" s="129"/>
      <c r="W253" s="128"/>
      <c r="X253" s="128"/>
      <c r="Y253" s="124"/>
      <c r="Z253" s="124"/>
      <c r="AA253" s="124"/>
    </row>
    <row r="254" s="103" customFormat="1" spans="1:27">
      <c r="A254" s="128"/>
      <c r="B254" s="124"/>
      <c r="C254" s="119"/>
      <c r="D254" s="160"/>
      <c r="E254" s="124"/>
      <c r="F254" s="119"/>
      <c r="G254" s="119"/>
      <c r="H254" s="119"/>
      <c r="I254" s="119"/>
      <c r="J254" s="273"/>
      <c r="K254" s="274"/>
      <c r="L254" s="123"/>
      <c r="M254" s="124"/>
      <c r="N254" s="150"/>
      <c r="O254" s="192"/>
      <c r="P254" s="211"/>
      <c r="Q254" s="124"/>
      <c r="R254" s="124"/>
      <c r="S254" s="128"/>
      <c r="T254" s="128"/>
      <c r="U254" s="128"/>
      <c r="V254" s="129"/>
      <c r="W254" s="128"/>
      <c r="X254" s="128"/>
      <c r="Y254" s="124"/>
      <c r="Z254" s="124"/>
      <c r="AA254" s="124"/>
    </row>
    <row r="255" s="103" customFormat="1" spans="1:27">
      <c r="A255" s="128"/>
      <c r="B255" s="124"/>
      <c r="C255" s="119"/>
      <c r="D255" s="160"/>
      <c r="E255" s="124"/>
      <c r="F255" s="119"/>
      <c r="G255" s="119"/>
      <c r="H255" s="119"/>
      <c r="I255" s="119"/>
      <c r="J255" s="273"/>
      <c r="K255" s="274"/>
      <c r="L255" s="123"/>
      <c r="M255" s="124"/>
      <c r="N255" s="150"/>
      <c r="O255" s="192"/>
      <c r="P255" s="211"/>
      <c r="Q255" s="124"/>
      <c r="R255" s="124"/>
      <c r="S255" s="128"/>
      <c r="T255" s="128"/>
      <c r="U255" s="128"/>
      <c r="V255" s="129"/>
      <c r="W255" s="128"/>
      <c r="X255" s="128"/>
      <c r="Y255" s="124"/>
      <c r="Z255" s="124"/>
      <c r="AA255" s="124"/>
    </row>
    <row r="256" s="103" customFormat="1" spans="1:27">
      <c r="A256" s="128"/>
      <c r="B256" s="124"/>
      <c r="C256" s="119"/>
      <c r="D256" s="160"/>
      <c r="E256" s="124"/>
      <c r="F256" s="119"/>
      <c r="G256" s="119"/>
      <c r="H256" s="119"/>
      <c r="I256" s="119"/>
      <c r="J256" s="273"/>
      <c r="K256" s="274"/>
      <c r="L256" s="123"/>
      <c r="M256" s="124"/>
      <c r="N256" s="150"/>
      <c r="O256" s="192"/>
      <c r="P256" s="211"/>
      <c r="Q256" s="124"/>
      <c r="R256" s="124"/>
      <c r="S256" s="128"/>
      <c r="T256" s="128"/>
      <c r="U256" s="128"/>
      <c r="V256" s="129"/>
      <c r="W256" s="128"/>
      <c r="X256" s="128"/>
      <c r="Y256" s="124"/>
      <c r="Z256" s="124"/>
      <c r="AA256" s="124"/>
    </row>
    <row r="257" s="103" customFormat="1" spans="1:27">
      <c r="A257" s="128"/>
      <c r="B257" s="124"/>
      <c r="C257" s="119"/>
      <c r="D257" s="160"/>
      <c r="E257" s="124"/>
      <c r="F257" s="119"/>
      <c r="G257" s="119"/>
      <c r="H257" s="119"/>
      <c r="I257" s="119"/>
      <c r="J257" s="273"/>
      <c r="K257" s="274"/>
      <c r="L257" s="123"/>
      <c r="M257" s="124"/>
      <c r="N257" s="150"/>
      <c r="O257" s="192"/>
      <c r="P257" s="211"/>
      <c r="Q257" s="124"/>
      <c r="R257" s="124"/>
      <c r="S257" s="128"/>
      <c r="T257" s="128"/>
      <c r="U257" s="128"/>
      <c r="V257" s="129"/>
      <c r="W257" s="128"/>
      <c r="X257" s="128"/>
      <c r="Y257" s="124"/>
      <c r="Z257" s="124"/>
      <c r="AA257" s="124"/>
    </row>
    <row r="258" s="103" customFormat="1" spans="1:27">
      <c r="A258" s="128"/>
      <c r="B258" s="124"/>
      <c r="C258" s="119"/>
      <c r="D258" s="160"/>
      <c r="E258" s="124"/>
      <c r="F258" s="119"/>
      <c r="G258" s="119"/>
      <c r="H258" s="119"/>
      <c r="I258" s="119"/>
      <c r="J258" s="273"/>
      <c r="K258" s="274"/>
      <c r="L258" s="123"/>
      <c r="M258" s="124"/>
      <c r="N258" s="150"/>
      <c r="O258" s="192"/>
      <c r="P258" s="211"/>
      <c r="Q258" s="124"/>
      <c r="R258" s="124"/>
      <c r="S258" s="128"/>
      <c r="T258" s="128"/>
      <c r="U258" s="128"/>
      <c r="V258" s="129"/>
      <c r="W258" s="128"/>
      <c r="X258" s="128"/>
      <c r="Y258" s="124"/>
      <c r="Z258" s="124"/>
      <c r="AA258" s="124"/>
    </row>
    <row r="259" s="103" customFormat="1" spans="1:27">
      <c r="A259" s="128"/>
      <c r="B259" s="124"/>
      <c r="C259" s="119"/>
      <c r="D259" s="160"/>
      <c r="E259" s="124"/>
      <c r="F259" s="119"/>
      <c r="G259" s="119"/>
      <c r="H259" s="119"/>
      <c r="I259" s="119"/>
      <c r="J259" s="273"/>
      <c r="K259" s="274"/>
      <c r="L259" s="123"/>
      <c r="M259" s="124"/>
      <c r="N259" s="150"/>
      <c r="O259" s="192"/>
      <c r="P259" s="211"/>
      <c r="Q259" s="124"/>
      <c r="R259" s="124"/>
      <c r="S259" s="128"/>
      <c r="T259" s="128"/>
      <c r="U259" s="128"/>
      <c r="V259" s="129"/>
      <c r="W259" s="128"/>
      <c r="X259" s="128"/>
      <c r="Y259" s="124"/>
      <c r="Z259" s="124"/>
      <c r="AA259" s="124"/>
    </row>
    <row r="260" s="103" customFormat="1" spans="1:27">
      <c r="A260" s="128"/>
      <c r="B260" s="124"/>
      <c r="C260" s="119"/>
      <c r="D260" s="160"/>
      <c r="E260" s="124"/>
      <c r="F260" s="119"/>
      <c r="G260" s="119"/>
      <c r="H260" s="119"/>
      <c r="I260" s="119"/>
      <c r="J260" s="273"/>
      <c r="K260" s="274"/>
      <c r="L260" s="123"/>
      <c r="M260" s="124"/>
      <c r="N260" s="150"/>
      <c r="O260" s="192"/>
      <c r="P260" s="211"/>
      <c r="Q260" s="124"/>
      <c r="R260" s="124"/>
      <c r="S260" s="128"/>
      <c r="T260" s="128"/>
      <c r="U260" s="128"/>
      <c r="V260" s="129"/>
      <c r="W260" s="128"/>
      <c r="X260" s="128"/>
      <c r="Y260" s="124"/>
      <c r="Z260" s="124"/>
      <c r="AA260" s="124"/>
    </row>
    <row r="261" s="103" customFormat="1" spans="1:27">
      <c r="A261" s="128"/>
      <c r="B261" s="124"/>
      <c r="C261" s="119"/>
      <c r="D261" s="160"/>
      <c r="E261" s="124"/>
      <c r="F261" s="119"/>
      <c r="G261" s="119"/>
      <c r="H261" s="119"/>
      <c r="I261" s="119"/>
      <c r="J261" s="273"/>
      <c r="K261" s="274"/>
      <c r="L261" s="123"/>
      <c r="M261" s="124"/>
      <c r="N261" s="150"/>
      <c r="O261" s="192"/>
      <c r="P261" s="211"/>
      <c r="Q261" s="124"/>
      <c r="R261" s="124"/>
      <c r="S261" s="128"/>
      <c r="T261" s="128"/>
      <c r="U261" s="128"/>
      <c r="V261" s="129"/>
      <c r="W261" s="128"/>
      <c r="X261" s="128"/>
      <c r="Y261" s="124"/>
      <c r="Z261" s="124"/>
      <c r="AA261" s="124"/>
    </row>
    <row r="262" s="103" customFormat="1" spans="1:27">
      <c r="A262" s="128"/>
      <c r="B262" s="124"/>
      <c r="C262" s="119"/>
      <c r="D262" s="160"/>
      <c r="E262" s="124"/>
      <c r="F262" s="119"/>
      <c r="G262" s="119"/>
      <c r="H262" s="119"/>
      <c r="I262" s="119"/>
      <c r="J262" s="273"/>
      <c r="K262" s="274"/>
      <c r="L262" s="123"/>
      <c r="M262" s="124"/>
      <c r="N262" s="150"/>
      <c r="O262" s="192"/>
      <c r="P262" s="211"/>
      <c r="Q262" s="124"/>
      <c r="R262" s="124"/>
      <c r="S262" s="128"/>
      <c r="T262" s="128"/>
      <c r="U262" s="128"/>
      <c r="V262" s="129"/>
      <c r="W262" s="128"/>
      <c r="X262" s="128"/>
      <c r="Y262" s="124"/>
      <c r="Z262" s="124"/>
      <c r="AA262" s="124"/>
    </row>
    <row r="263" s="103" customFormat="1" spans="1:27">
      <c r="A263" s="128"/>
      <c r="B263" s="124"/>
      <c r="C263" s="119"/>
      <c r="D263" s="160"/>
      <c r="E263" s="124"/>
      <c r="F263" s="119"/>
      <c r="G263" s="119"/>
      <c r="H263" s="119"/>
      <c r="I263" s="119"/>
      <c r="J263" s="273"/>
      <c r="K263" s="274"/>
      <c r="L263" s="123"/>
      <c r="M263" s="124"/>
      <c r="N263" s="150"/>
      <c r="O263" s="192"/>
      <c r="P263" s="211"/>
      <c r="Q263" s="124"/>
      <c r="R263" s="124"/>
      <c r="S263" s="128"/>
      <c r="T263" s="128"/>
      <c r="U263" s="128"/>
      <c r="V263" s="129"/>
      <c r="W263" s="128"/>
      <c r="X263" s="128"/>
      <c r="Y263" s="124"/>
      <c r="Z263" s="124"/>
      <c r="AA263" s="124"/>
    </row>
    <row r="264" s="103" customFormat="1" spans="1:27">
      <c r="A264" s="128"/>
      <c r="B264" s="124"/>
      <c r="C264" s="119"/>
      <c r="D264" s="160"/>
      <c r="E264" s="124"/>
      <c r="F264" s="119"/>
      <c r="G264" s="119"/>
      <c r="H264" s="119"/>
      <c r="I264" s="119"/>
      <c r="J264" s="273"/>
      <c r="K264" s="274"/>
      <c r="L264" s="123"/>
      <c r="M264" s="124"/>
      <c r="N264" s="150"/>
      <c r="O264" s="192"/>
      <c r="P264" s="211"/>
      <c r="Q264" s="124"/>
      <c r="R264" s="124"/>
      <c r="S264" s="128"/>
      <c r="T264" s="128"/>
      <c r="U264" s="128"/>
      <c r="V264" s="129"/>
      <c r="W264" s="128"/>
      <c r="X264" s="128"/>
      <c r="Y264" s="124"/>
      <c r="Z264" s="124"/>
      <c r="AA264" s="124"/>
    </row>
    <row r="265" s="103" customFormat="1" spans="1:27">
      <c r="A265" s="128"/>
      <c r="B265" s="124"/>
      <c r="C265" s="119"/>
      <c r="D265" s="160"/>
      <c r="E265" s="124"/>
      <c r="F265" s="119"/>
      <c r="G265" s="119"/>
      <c r="H265" s="119"/>
      <c r="I265" s="119"/>
      <c r="J265" s="273"/>
      <c r="K265" s="274"/>
      <c r="L265" s="123"/>
      <c r="M265" s="124"/>
      <c r="N265" s="150"/>
      <c r="O265" s="192"/>
      <c r="P265" s="211"/>
      <c r="Q265" s="124"/>
      <c r="R265" s="124"/>
      <c r="S265" s="128"/>
      <c r="T265" s="128"/>
      <c r="U265" s="128"/>
      <c r="V265" s="129"/>
      <c r="W265" s="128"/>
      <c r="X265" s="128"/>
      <c r="Y265" s="124"/>
      <c r="Z265" s="124"/>
      <c r="AA265" s="124"/>
    </row>
    <row r="266" s="103" customFormat="1" spans="1:27">
      <c r="A266" s="128"/>
      <c r="B266" s="124"/>
      <c r="C266" s="119"/>
      <c r="D266" s="160"/>
      <c r="E266" s="124"/>
      <c r="F266" s="119"/>
      <c r="G266" s="119"/>
      <c r="H266" s="119"/>
      <c r="I266" s="119"/>
      <c r="J266" s="273"/>
      <c r="K266" s="274"/>
      <c r="L266" s="123"/>
      <c r="M266" s="124"/>
      <c r="N266" s="150"/>
      <c r="O266" s="192"/>
      <c r="P266" s="211"/>
      <c r="Q266" s="124"/>
      <c r="R266" s="124"/>
      <c r="S266" s="128"/>
      <c r="T266" s="128"/>
      <c r="U266" s="128"/>
      <c r="V266" s="129"/>
      <c r="W266" s="128"/>
      <c r="X266" s="128"/>
      <c r="Y266" s="124"/>
      <c r="Z266" s="124"/>
      <c r="AA266" s="124"/>
    </row>
    <row r="267" s="103" customFormat="1" spans="1:27">
      <c r="A267" s="128"/>
      <c r="B267" s="124"/>
      <c r="C267" s="119"/>
      <c r="D267" s="160"/>
      <c r="E267" s="124"/>
      <c r="F267" s="119"/>
      <c r="G267" s="119"/>
      <c r="H267" s="119"/>
      <c r="I267" s="119"/>
      <c r="J267" s="273"/>
      <c r="K267" s="274"/>
      <c r="L267" s="123"/>
      <c r="M267" s="124"/>
      <c r="N267" s="150"/>
      <c r="O267" s="192"/>
      <c r="P267" s="211"/>
      <c r="Q267" s="124"/>
      <c r="R267" s="124"/>
      <c r="S267" s="128"/>
      <c r="T267" s="128"/>
      <c r="U267" s="128"/>
      <c r="V267" s="129"/>
      <c r="W267" s="128"/>
      <c r="X267" s="128"/>
      <c r="Y267" s="124"/>
      <c r="Z267" s="124"/>
      <c r="AA267" s="124"/>
    </row>
    <row r="268" s="103" customFormat="1" spans="1:27">
      <c r="A268" s="128"/>
      <c r="B268" s="124"/>
      <c r="C268" s="119"/>
      <c r="D268" s="160"/>
      <c r="E268" s="124"/>
      <c r="F268" s="119"/>
      <c r="G268" s="119"/>
      <c r="H268" s="119"/>
      <c r="I268" s="119"/>
      <c r="J268" s="273"/>
      <c r="K268" s="274"/>
      <c r="L268" s="123"/>
      <c r="M268" s="124"/>
      <c r="N268" s="150"/>
      <c r="O268" s="192"/>
      <c r="P268" s="211"/>
      <c r="Q268" s="124"/>
      <c r="R268" s="124"/>
      <c r="S268" s="128"/>
      <c r="T268" s="128"/>
      <c r="U268" s="128"/>
      <c r="V268" s="129"/>
      <c r="W268" s="128"/>
      <c r="X268" s="128"/>
      <c r="Y268" s="124"/>
      <c r="Z268" s="124"/>
      <c r="AA268" s="124"/>
    </row>
    <row r="269" s="103" customFormat="1" spans="1:27">
      <c r="A269" s="128"/>
      <c r="B269" s="124"/>
      <c r="C269" s="119"/>
      <c r="D269" s="160"/>
      <c r="E269" s="124"/>
      <c r="F269" s="119"/>
      <c r="G269" s="119"/>
      <c r="H269" s="119"/>
      <c r="I269" s="119"/>
      <c r="J269" s="273"/>
      <c r="K269" s="274"/>
      <c r="L269" s="123"/>
      <c r="M269" s="124"/>
      <c r="N269" s="150"/>
      <c r="O269" s="192"/>
      <c r="P269" s="211"/>
      <c r="Q269" s="124"/>
      <c r="R269" s="124"/>
      <c r="S269" s="128"/>
      <c r="T269" s="128"/>
      <c r="U269" s="128"/>
      <c r="V269" s="129"/>
      <c r="W269" s="128"/>
      <c r="X269" s="128"/>
      <c r="Y269" s="124"/>
      <c r="Z269" s="124"/>
      <c r="AA269" s="124"/>
    </row>
    <row r="270" s="103" customFormat="1" spans="1:27">
      <c r="A270" s="128"/>
      <c r="B270" s="124"/>
      <c r="C270" s="119"/>
      <c r="D270" s="160"/>
      <c r="E270" s="124"/>
      <c r="F270" s="119"/>
      <c r="G270" s="119"/>
      <c r="H270" s="119"/>
      <c r="I270" s="119"/>
      <c r="J270" s="273"/>
      <c r="K270" s="274"/>
      <c r="L270" s="123"/>
      <c r="M270" s="124"/>
      <c r="N270" s="150"/>
      <c r="O270" s="192"/>
      <c r="P270" s="211"/>
      <c r="Q270" s="124"/>
      <c r="R270" s="124"/>
      <c r="S270" s="128"/>
      <c r="T270" s="128"/>
      <c r="U270" s="128"/>
      <c r="V270" s="129"/>
      <c r="W270" s="128"/>
      <c r="X270" s="128"/>
      <c r="Y270" s="124"/>
      <c r="Z270" s="124"/>
      <c r="AA270" s="124"/>
    </row>
    <row r="271" s="103" customFormat="1" spans="1:27">
      <c r="A271" s="128"/>
      <c r="B271" s="124"/>
      <c r="C271" s="119"/>
      <c r="D271" s="160"/>
      <c r="E271" s="124"/>
      <c r="F271" s="119"/>
      <c r="G271" s="119"/>
      <c r="H271" s="119"/>
      <c r="I271" s="119"/>
      <c r="J271" s="273"/>
      <c r="K271" s="274"/>
      <c r="L271" s="123"/>
      <c r="M271" s="124"/>
      <c r="N271" s="150"/>
      <c r="O271" s="192"/>
      <c r="P271" s="211"/>
      <c r="Q271" s="124"/>
      <c r="R271" s="124"/>
      <c r="S271" s="128"/>
      <c r="T271" s="128"/>
      <c r="U271" s="128"/>
      <c r="V271" s="129"/>
      <c r="W271" s="128"/>
      <c r="X271" s="128"/>
      <c r="Y271" s="124"/>
      <c r="Z271" s="124"/>
      <c r="AA271" s="124"/>
    </row>
    <row r="272" s="103" customFormat="1" spans="1:27">
      <c r="A272" s="128"/>
      <c r="B272" s="124"/>
      <c r="C272" s="119"/>
      <c r="D272" s="160"/>
      <c r="E272" s="124"/>
      <c r="F272" s="119"/>
      <c r="G272" s="119"/>
      <c r="H272" s="119"/>
      <c r="I272" s="119"/>
      <c r="J272" s="273"/>
      <c r="K272" s="274"/>
      <c r="L272" s="123"/>
      <c r="M272" s="124"/>
      <c r="N272" s="150"/>
      <c r="O272" s="192"/>
      <c r="P272" s="211"/>
      <c r="Q272" s="124"/>
      <c r="R272" s="124"/>
      <c r="S272" s="128"/>
      <c r="T272" s="128"/>
      <c r="U272" s="128"/>
      <c r="V272" s="129"/>
      <c r="W272" s="128"/>
      <c r="X272" s="128"/>
      <c r="Y272" s="124"/>
      <c r="Z272" s="124"/>
      <c r="AA272" s="124"/>
    </row>
    <row r="273" s="103" customFormat="1" spans="1:27">
      <c r="A273" s="128"/>
      <c r="B273" s="124"/>
      <c r="C273" s="119"/>
      <c r="D273" s="160"/>
      <c r="E273" s="124"/>
      <c r="F273" s="119"/>
      <c r="G273" s="119"/>
      <c r="H273" s="119"/>
      <c r="I273" s="119"/>
      <c r="J273" s="273"/>
      <c r="K273" s="274"/>
      <c r="L273" s="123"/>
      <c r="M273" s="124"/>
      <c r="N273" s="150"/>
      <c r="O273" s="192"/>
      <c r="P273" s="211"/>
      <c r="Q273" s="124"/>
      <c r="R273" s="124"/>
      <c r="S273" s="128"/>
      <c r="T273" s="128"/>
      <c r="U273" s="128"/>
      <c r="V273" s="129"/>
      <c r="W273" s="128"/>
      <c r="X273" s="128"/>
      <c r="Y273" s="124"/>
      <c r="Z273" s="124"/>
      <c r="AA273" s="124"/>
    </row>
    <row r="274" s="103" customFormat="1" spans="1:27">
      <c r="A274" s="128"/>
      <c r="B274" s="124"/>
      <c r="C274" s="119"/>
      <c r="D274" s="160"/>
      <c r="E274" s="124"/>
      <c r="F274" s="119"/>
      <c r="G274" s="119"/>
      <c r="H274" s="119"/>
      <c r="I274" s="119"/>
      <c r="J274" s="273"/>
      <c r="K274" s="274"/>
      <c r="L274" s="123"/>
      <c r="M274" s="124"/>
      <c r="N274" s="150"/>
      <c r="O274" s="192"/>
      <c r="P274" s="211"/>
      <c r="Q274" s="124"/>
      <c r="R274" s="124"/>
      <c r="S274" s="128"/>
      <c r="T274" s="128"/>
      <c r="U274" s="128"/>
      <c r="V274" s="129"/>
      <c r="W274" s="128"/>
      <c r="X274" s="128"/>
      <c r="Y274" s="124"/>
      <c r="Z274" s="124"/>
      <c r="AA274" s="124"/>
    </row>
    <row r="275" s="103" customFormat="1" spans="1:27">
      <c r="A275" s="128"/>
      <c r="B275" s="124"/>
      <c r="C275" s="119"/>
      <c r="D275" s="160"/>
      <c r="E275" s="124"/>
      <c r="F275" s="119"/>
      <c r="G275" s="119"/>
      <c r="H275" s="119"/>
      <c r="I275" s="119"/>
      <c r="J275" s="273"/>
      <c r="K275" s="274"/>
      <c r="L275" s="123"/>
      <c r="M275" s="124"/>
      <c r="N275" s="150"/>
      <c r="O275" s="192"/>
      <c r="P275" s="211"/>
      <c r="Q275" s="124"/>
      <c r="R275" s="124"/>
      <c r="S275" s="128"/>
      <c r="T275" s="128"/>
      <c r="U275" s="128"/>
      <c r="V275" s="129"/>
      <c r="W275" s="128"/>
      <c r="X275" s="128"/>
      <c r="Y275" s="124"/>
      <c r="Z275" s="124"/>
      <c r="AA275" s="124"/>
    </row>
    <row r="276" s="103" customFormat="1" spans="1:27">
      <c r="A276" s="128"/>
      <c r="B276" s="124"/>
      <c r="C276" s="119"/>
      <c r="D276" s="160"/>
      <c r="E276" s="124"/>
      <c r="F276" s="119"/>
      <c r="G276" s="119"/>
      <c r="H276" s="119"/>
      <c r="I276" s="119"/>
      <c r="J276" s="273"/>
      <c r="K276" s="274"/>
      <c r="L276" s="123"/>
      <c r="M276" s="124"/>
      <c r="N276" s="150"/>
      <c r="O276" s="192"/>
      <c r="P276" s="211"/>
      <c r="Q276" s="124"/>
      <c r="R276" s="124"/>
      <c r="S276" s="128"/>
      <c r="T276" s="128"/>
      <c r="U276" s="128"/>
      <c r="V276" s="129"/>
      <c r="W276" s="128"/>
      <c r="X276" s="128"/>
      <c r="Y276" s="124"/>
      <c r="Z276" s="124"/>
      <c r="AA276" s="124"/>
    </row>
    <row r="277" s="103" customFormat="1" spans="1:27">
      <c r="A277" s="128"/>
      <c r="B277" s="124"/>
      <c r="C277" s="119"/>
      <c r="D277" s="160"/>
      <c r="E277" s="124"/>
      <c r="F277" s="119"/>
      <c r="G277" s="119"/>
      <c r="H277" s="119"/>
      <c r="I277" s="119"/>
      <c r="J277" s="273"/>
      <c r="K277" s="274"/>
      <c r="L277" s="123"/>
      <c r="M277" s="124"/>
      <c r="N277" s="150"/>
      <c r="O277" s="192"/>
      <c r="P277" s="211"/>
      <c r="Q277" s="124"/>
      <c r="R277" s="124"/>
      <c r="S277" s="128"/>
      <c r="T277" s="128"/>
      <c r="U277" s="128"/>
      <c r="V277" s="129"/>
      <c r="W277" s="128"/>
      <c r="X277" s="128"/>
      <c r="Y277" s="124"/>
      <c r="Z277" s="124"/>
      <c r="AA277" s="124"/>
    </row>
    <row r="278" s="103" customFormat="1" spans="1:27">
      <c r="A278" s="128"/>
      <c r="B278" s="124"/>
      <c r="C278" s="119"/>
      <c r="D278" s="160"/>
      <c r="E278" s="124"/>
      <c r="F278" s="119"/>
      <c r="G278" s="119"/>
      <c r="H278" s="119"/>
      <c r="I278" s="119"/>
      <c r="J278" s="273"/>
      <c r="K278" s="274"/>
      <c r="L278" s="123"/>
      <c r="M278" s="124"/>
      <c r="N278" s="150"/>
      <c r="O278" s="192"/>
      <c r="P278" s="211"/>
      <c r="Q278" s="124"/>
      <c r="R278" s="124"/>
      <c r="S278" s="128"/>
      <c r="T278" s="128"/>
      <c r="U278" s="128"/>
      <c r="V278" s="129"/>
      <c r="W278" s="128"/>
      <c r="X278" s="128"/>
      <c r="Y278" s="124"/>
      <c r="Z278" s="124"/>
      <c r="AA278" s="124"/>
    </row>
    <row r="279" s="103" customFormat="1" spans="1:27">
      <c r="A279" s="128"/>
      <c r="B279" s="124"/>
      <c r="C279" s="119"/>
      <c r="D279" s="160"/>
      <c r="E279" s="124"/>
      <c r="F279" s="119"/>
      <c r="G279" s="119"/>
      <c r="H279" s="119"/>
      <c r="I279" s="119"/>
      <c r="J279" s="273"/>
      <c r="K279" s="274"/>
      <c r="L279" s="123"/>
      <c r="M279" s="124"/>
      <c r="N279" s="150"/>
      <c r="O279" s="192"/>
      <c r="P279" s="211"/>
      <c r="Q279" s="124"/>
      <c r="R279" s="124"/>
      <c r="S279" s="128"/>
      <c r="T279" s="128"/>
      <c r="U279" s="128"/>
      <c r="V279" s="129"/>
      <c r="W279" s="128"/>
      <c r="X279" s="128"/>
      <c r="Y279" s="124"/>
      <c r="Z279" s="124"/>
      <c r="AA279" s="124"/>
    </row>
    <row r="280" s="103" customFormat="1" spans="1:27">
      <c r="A280" s="128"/>
      <c r="B280" s="124"/>
      <c r="C280" s="119"/>
      <c r="D280" s="160"/>
      <c r="E280" s="124"/>
      <c r="F280" s="119"/>
      <c r="G280" s="119"/>
      <c r="H280" s="119"/>
      <c r="I280" s="119"/>
      <c r="J280" s="273"/>
      <c r="K280" s="274"/>
      <c r="L280" s="123"/>
      <c r="M280" s="124"/>
      <c r="N280" s="150"/>
      <c r="O280" s="192"/>
      <c r="P280" s="211"/>
      <c r="Q280" s="124"/>
      <c r="R280" s="124"/>
      <c r="S280" s="128"/>
      <c r="T280" s="128"/>
      <c r="U280" s="128"/>
      <c r="V280" s="129"/>
      <c r="W280" s="128"/>
      <c r="X280" s="128"/>
      <c r="Y280" s="124"/>
      <c r="Z280" s="124"/>
      <c r="AA280" s="124"/>
    </row>
    <row r="281" s="103" customFormat="1" spans="1:27">
      <c r="A281" s="128"/>
      <c r="B281" s="124"/>
      <c r="C281" s="119"/>
      <c r="D281" s="160"/>
      <c r="E281" s="124"/>
      <c r="F281" s="119"/>
      <c r="G281" s="119"/>
      <c r="H281" s="119"/>
      <c r="I281" s="119"/>
      <c r="J281" s="273"/>
      <c r="K281" s="274"/>
      <c r="L281" s="123"/>
      <c r="M281" s="124"/>
      <c r="N281" s="150"/>
      <c r="O281" s="192"/>
      <c r="P281" s="211"/>
      <c r="Q281" s="124"/>
      <c r="R281" s="124"/>
      <c r="S281" s="128"/>
      <c r="T281" s="128"/>
      <c r="U281" s="128"/>
      <c r="V281" s="129"/>
      <c r="W281" s="128"/>
      <c r="X281" s="128"/>
      <c r="Y281" s="124"/>
      <c r="Z281" s="124"/>
      <c r="AA281" s="124"/>
    </row>
    <row r="282" s="103" customFormat="1" spans="1:27">
      <c r="A282" s="128"/>
      <c r="B282" s="124"/>
      <c r="C282" s="119"/>
      <c r="D282" s="160"/>
      <c r="E282" s="124"/>
      <c r="F282" s="119"/>
      <c r="G282" s="119"/>
      <c r="H282" s="119"/>
      <c r="I282" s="119"/>
      <c r="J282" s="273"/>
      <c r="K282" s="274"/>
      <c r="L282" s="123"/>
      <c r="M282" s="124"/>
      <c r="N282" s="150"/>
      <c r="O282" s="192"/>
      <c r="P282" s="211"/>
      <c r="Q282" s="124"/>
      <c r="R282" s="124"/>
      <c r="S282" s="128"/>
      <c r="T282" s="128"/>
      <c r="U282" s="128"/>
      <c r="V282" s="129"/>
      <c r="W282" s="128"/>
      <c r="X282" s="128"/>
      <c r="Y282" s="124"/>
      <c r="Z282" s="124"/>
      <c r="AA282" s="124"/>
    </row>
    <row r="283" s="103" customFormat="1" spans="1:27">
      <c r="A283" s="128"/>
      <c r="B283" s="124"/>
      <c r="C283" s="119"/>
      <c r="D283" s="160"/>
      <c r="E283" s="124"/>
      <c r="F283" s="119"/>
      <c r="G283" s="119"/>
      <c r="H283" s="119"/>
      <c r="I283" s="119"/>
      <c r="J283" s="273"/>
      <c r="K283" s="274"/>
      <c r="L283" s="123"/>
      <c r="M283" s="124"/>
      <c r="N283" s="150"/>
      <c r="O283" s="192"/>
      <c r="P283" s="211"/>
      <c r="Q283" s="124"/>
      <c r="R283" s="124"/>
      <c r="S283" s="128"/>
      <c r="T283" s="128"/>
      <c r="U283" s="128"/>
      <c r="V283" s="129"/>
      <c r="W283" s="128"/>
      <c r="X283" s="128"/>
      <c r="Y283" s="124"/>
      <c r="Z283" s="124"/>
      <c r="AA283" s="124"/>
    </row>
    <row r="284" s="103" customFormat="1" spans="1:27">
      <c r="A284" s="128"/>
      <c r="B284" s="124"/>
      <c r="C284" s="119"/>
      <c r="D284" s="160"/>
      <c r="E284" s="124"/>
      <c r="F284" s="119"/>
      <c r="G284" s="119"/>
      <c r="H284" s="119"/>
      <c r="I284" s="119"/>
      <c r="J284" s="273"/>
      <c r="K284" s="274"/>
      <c r="L284" s="123"/>
      <c r="M284" s="124"/>
      <c r="N284" s="150"/>
      <c r="O284" s="192"/>
      <c r="P284" s="211"/>
      <c r="Q284" s="124"/>
      <c r="R284" s="124"/>
      <c r="S284" s="128"/>
      <c r="T284" s="128"/>
      <c r="U284" s="128"/>
      <c r="V284" s="129"/>
      <c r="W284" s="128"/>
      <c r="X284" s="128"/>
      <c r="Y284" s="124"/>
      <c r="Z284" s="124"/>
      <c r="AA284" s="124"/>
    </row>
    <row r="285" s="103" customFormat="1" spans="1:27">
      <c r="A285" s="128"/>
      <c r="B285" s="124"/>
      <c r="C285" s="119"/>
      <c r="D285" s="160"/>
      <c r="E285" s="124"/>
      <c r="F285" s="119"/>
      <c r="G285" s="119"/>
      <c r="H285" s="119"/>
      <c r="I285" s="119"/>
      <c r="J285" s="273"/>
      <c r="K285" s="274"/>
      <c r="L285" s="123"/>
      <c r="M285" s="124"/>
      <c r="N285" s="150"/>
      <c r="O285" s="192"/>
      <c r="P285" s="211"/>
      <c r="Q285" s="124"/>
      <c r="R285" s="124"/>
      <c r="S285" s="128"/>
      <c r="T285" s="128"/>
      <c r="U285" s="128"/>
      <c r="V285" s="129"/>
      <c r="W285" s="128"/>
      <c r="X285" s="128"/>
      <c r="Y285" s="124"/>
      <c r="Z285" s="124"/>
      <c r="AA285" s="124"/>
    </row>
    <row r="286" s="103" customFormat="1" spans="1:27">
      <c r="A286" s="128"/>
      <c r="B286" s="124"/>
      <c r="C286" s="119"/>
      <c r="D286" s="160"/>
      <c r="E286" s="124"/>
      <c r="F286" s="119"/>
      <c r="G286" s="119"/>
      <c r="H286" s="119"/>
      <c r="I286" s="119"/>
      <c r="J286" s="273"/>
      <c r="K286" s="274"/>
      <c r="L286" s="123"/>
      <c r="M286" s="124"/>
      <c r="N286" s="150"/>
      <c r="O286" s="192"/>
      <c r="P286" s="211"/>
      <c r="Q286" s="124"/>
      <c r="R286" s="124"/>
      <c r="S286" s="128"/>
      <c r="T286" s="128"/>
      <c r="U286" s="128"/>
      <c r="V286" s="129"/>
      <c r="W286" s="128"/>
      <c r="X286" s="128"/>
      <c r="Y286" s="124"/>
      <c r="Z286" s="124"/>
      <c r="AA286" s="124"/>
    </row>
    <row r="287" s="103" customFormat="1" spans="1:27">
      <c r="A287" s="128"/>
      <c r="B287" s="124"/>
      <c r="C287" s="119"/>
      <c r="D287" s="160"/>
      <c r="E287" s="124"/>
      <c r="F287" s="119"/>
      <c r="G287" s="119"/>
      <c r="H287" s="119"/>
      <c r="I287" s="119"/>
      <c r="J287" s="273"/>
      <c r="K287" s="274"/>
      <c r="L287" s="123"/>
      <c r="M287" s="124"/>
      <c r="N287" s="150"/>
      <c r="O287" s="192"/>
      <c r="P287" s="211"/>
      <c r="Q287" s="124"/>
      <c r="R287" s="124"/>
      <c r="S287" s="128"/>
      <c r="T287" s="128"/>
      <c r="U287" s="128"/>
      <c r="V287" s="129"/>
      <c r="W287" s="128"/>
      <c r="X287" s="128"/>
      <c r="Y287" s="124"/>
      <c r="Z287" s="124"/>
      <c r="AA287" s="124"/>
    </row>
    <row r="288" s="103" customFormat="1" spans="1:27">
      <c r="A288" s="128"/>
      <c r="B288" s="124"/>
      <c r="C288" s="119"/>
      <c r="D288" s="160"/>
      <c r="E288" s="124"/>
      <c r="F288" s="119"/>
      <c r="G288" s="119"/>
      <c r="H288" s="119"/>
      <c r="I288" s="119"/>
      <c r="J288" s="273"/>
      <c r="K288" s="274"/>
      <c r="L288" s="123"/>
      <c r="M288" s="124"/>
      <c r="N288" s="150"/>
      <c r="O288" s="192"/>
      <c r="P288" s="211"/>
      <c r="Q288" s="124"/>
      <c r="R288" s="124"/>
      <c r="S288" s="128"/>
      <c r="T288" s="128"/>
      <c r="U288" s="128"/>
      <c r="V288" s="129"/>
      <c r="W288" s="128"/>
      <c r="X288" s="128"/>
      <c r="Y288" s="124"/>
      <c r="Z288" s="124"/>
      <c r="AA288" s="124"/>
    </row>
    <row r="289" s="103" customFormat="1" spans="1:27">
      <c r="A289" s="128"/>
      <c r="B289" s="124"/>
      <c r="C289" s="119"/>
      <c r="D289" s="160"/>
      <c r="E289" s="124"/>
      <c r="F289" s="119"/>
      <c r="G289" s="119"/>
      <c r="H289" s="119"/>
      <c r="I289" s="119"/>
      <c r="J289" s="273"/>
      <c r="K289" s="274"/>
      <c r="L289" s="123"/>
      <c r="M289" s="124"/>
      <c r="N289" s="150"/>
      <c r="O289" s="192"/>
      <c r="P289" s="211"/>
      <c r="Q289" s="124"/>
      <c r="R289" s="124"/>
      <c r="S289" s="128"/>
      <c r="T289" s="128"/>
      <c r="U289" s="128"/>
      <c r="V289" s="129"/>
      <c r="W289" s="128"/>
      <c r="X289" s="128"/>
      <c r="Y289" s="124"/>
      <c r="Z289" s="124"/>
      <c r="AA289" s="124"/>
    </row>
    <row r="290" s="103" customFormat="1" spans="1:27">
      <c r="A290" s="128"/>
      <c r="B290" s="124"/>
      <c r="C290" s="119"/>
      <c r="D290" s="160"/>
      <c r="E290" s="124"/>
      <c r="F290" s="119"/>
      <c r="G290" s="119"/>
      <c r="H290" s="119"/>
      <c r="I290" s="119"/>
      <c r="J290" s="273"/>
      <c r="K290" s="274"/>
      <c r="L290" s="123"/>
      <c r="M290" s="124"/>
      <c r="N290" s="150"/>
      <c r="O290" s="192"/>
      <c r="P290" s="211"/>
      <c r="Q290" s="124"/>
      <c r="R290" s="124"/>
      <c r="S290" s="128"/>
      <c r="T290" s="128"/>
      <c r="U290" s="128"/>
      <c r="V290" s="129"/>
      <c r="W290" s="128"/>
      <c r="X290" s="128"/>
      <c r="Y290" s="124"/>
      <c r="Z290" s="124"/>
      <c r="AA290" s="124"/>
    </row>
    <row r="291" s="103" customFormat="1" spans="1:27">
      <c r="A291" s="128"/>
      <c r="B291" s="124"/>
      <c r="C291" s="119"/>
      <c r="D291" s="160"/>
      <c r="E291" s="124"/>
      <c r="F291" s="119"/>
      <c r="G291" s="119"/>
      <c r="H291" s="119"/>
      <c r="I291" s="119"/>
      <c r="J291" s="273"/>
      <c r="K291" s="274"/>
      <c r="L291" s="123"/>
      <c r="M291" s="124"/>
      <c r="N291" s="150"/>
      <c r="O291" s="192"/>
      <c r="P291" s="211"/>
      <c r="Q291" s="124"/>
      <c r="R291" s="124"/>
      <c r="S291" s="128"/>
      <c r="T291" s="128"/>
      <c r="U291" s="128"/>
      <c r="V291" s="129"/>
      <c r="W291" s="128"/>
      <c r="X291" s="128"/>
      <c r="Y291" s="124"/>
      <c r="Z291" s="124"/>
      <c r="AA291" s="124"/>
    </row>
    <row r="292" s="103" customFormat="1" spans="1:27">
      <c r="A292" s="128"/>
      <c r="B292" s="124"/>
      <c r="C292" s="119"/>
      <c r="D292" s="160"/>
      <c r="E292" s="124"/>
      <c r="F292" s="119"/>
      <c r="G292" s="119"/>
      <c r="H292" s="119"/>
      <c r="I292" s="119"/>
      <c r="J292" s="273"/>
      <c r="K292" s="274"/>
      <c r="L292" s="123"/>
      <c r="M292" s="124"/>
      <c r="N292" s="150"/>
      <c r="O292" s="192"/>
      <c r="P292" s="211"/>
      <c r="Q292" s="124"/>
      <c r="R292" s="124"/>
      <c r="S292" s="128"/>
      <c r="T292" s="128"/>
      <c r="U292" s="128"/>
      <c r="V292" s="129"/>
      <c r="W292" s="128"/>
      <c r="X292" s="128"/>
      <c r="Y292" s="124"/>
      <c r="Z292" s="124"/>
      <c r="AA292" s="124"/>
    </row>
    <row r="293" s="103" customFormat="1" spans="1:27">
      <c r="A293" s="128"/>
      <c r="B293" s="124"/>
      <c r="C293" s="119"/>
      <c r="D293" s="160"/>
      <c r="E293" s="124"/>
      <c r="F293" s="119"/>
      <c r="G293" s="119"/>
      <c r="H293" s="119"/>
      <c r="I293" s="119"/>
      <c r="J293" s="273"/>
      <c r="K293" s="274"/>
      <c r="L293" s="123"/>
      <c r="M293" s="124"/>
      <c r="N293" s="150"/>
      <c r="O293" s="192"/>
      <c r="P293" s="211"/>
      <c r="Q293" s="124"/>
      <c r="R293" s="124"/>
      <c r="S293" s="128"/>
      <c r="T293" s="128"/>
      <c r="U293" s="128"/>
      <c r="V293" s="129"/>
      <c r="W293" s="128"/>
      <c r="X293" s="128"/>
      <c r="Y293" s="124"/>
      <c r="Z293" s="124"/>
      <c r="AA293" s="124"/>
    </row>
    <row r="294" s="103" customFormat="1" spans="1:27">
      <c r="A294" s="128"/>
      <c r="B294" s="124"/>
      <c r="C294" s="119"/>
      <c r="D294" s="160"/>
      <c r="E294" s="124"/>
      <c r="F294" s="119"/>
      <c r="G294" s="119"/>
      <c r="H294" s="119"/>
      <c r="I294" s="119"/>
      <c r="J294" s="273"/>
      <c r="K294" s="274"/>
      <c r="L294" s="123"/>
      <c r="M294" s="124"/>
      <c r="N294" s="150"/>
      <c r="O294" s="192"/>
      <c r="P294" s="211"/>
      <c r="Q294" s="124"/>
      <c r="R294" s="124"/>
      <c r="S294" s="128"/>
      <c r="T294" s="128"/>
      <c r="U294" s="128"/>
      <c r="V294" s="129"/>
      <c r="W294" s="128"/>
      <c r="X294" s="128"/>
      <c r="Y294" s="124"/>
      <c r="Z294" s="124"/>
      <c r="AA294" s="124"/>
    </row>
    <row r="295" s="103" customFormat="1" spans="1:27">
      <c r="A295" s="128"/>
      <c r="B295" s="124"/>
      <c r="C295" s="119"/>
      <c r="D295" s="160"/>
      <c r="E295" s="124"/>
      <c r="F295" s="119"/>
      <c r="G295" s="119"/>
      <c r="H295" s="119"/>
      <c r="I295" s="119"/>
      <c r="J295" s="273"/>
      <c r="K295" s="274"/>
      <c r="L295" s="123"/>
      <c r="M295" s="124"/>
      <c r="N295" s="150"/>
      <c r="O295" s="192"/>
      <c r="P295" s="211"/>
      <c r="Q295" s="124"/>
      <c r="R295" s="124"/>
      <c r="S295" s="128"/>
      <c r="T295" s="128"/>
      <c r="U295" s="128"/>
      <c r="V295" s="129"/>
      <c r="W295" s="128"/>
      <c r="X295" s="128"/>
      <c r="Y295" s="124"/>
      <c r="Z295" s="124"/>
      <c r="AA295" s="124"/>
    </row>
    <row r="296" s="103" customFormat="1" spans="1:27">
      <c r="A296" s="128"/>
      <c r="B296" s="124"/>
      <c r="C296" s="119"/>
      <c r="D296" s="160"/>
      <c r="E296" s="124"/>
      <c r="F296" s="119"/>
      <c r="G296" s="119"/>
      <c r="H296" s="119"/>
      <c r="I296" s="119"/>
      <c r="J296" s="273"/>
      <c r="K296" s="274"/>
      <c r="L296" s="123"/>
      <c r="M296" s="124"/>
      <c r="N296" s="150"/>
      <c r="O296" s="192"/>
      <c r="P296" s="211"/>
      <c r="Q296" s="124"/>
      <c r="R296" s="124"/>
      <c r="S296" s="128"/>
      <c r="T296" s="128"/>
      <c r="U296" s="128"/>
      <c r="V296" s="129"/>
      <c r="W296" s="128"/>
      <c r="X296" s="128"/>
      <c r="Y296" s="124"/>
      <c r="Z296" s="124"/>
      <c r="AA296" s="124"/>
    </row>
    <row r="297" s="103" customFormat="1" spans="1:27">
      <c r="A297" s="128"/>
      <c r="B297" s="124"/>
      <c r="C297" s="119"/>
      <c r="D297" s="160"/>
      <c r="E297" s="124"/>
      <c r="F297" s="119"/>
      <c r="G297" s="119"/>
      <c r="H297" s="119"/>
      <c r="I297" s="119"/>
      <c r="J297" s="273"/>
      <c r="K297" s="274"/>
      <c r="L297" s="123"/>
      <c r="M297" s="124"/>
      <c r="N297" s="150"/>
      <c r="O297" s="192"/>
      <c r="P297" s="211"/>
      <c r="Q297" s="124"/>
      <c r="R297" s="124"/>
      <c r="S297" s="128"/>
      <c r="T297" s="128"/>
      <c r="U297" s="128"/>
      <c r="V297" s="129"/>
      <c r="W297" s="128"/>
      <c r="X297" s="128"/>
      <c r="Y297" s="124"/>
      <c r="Z297" s="124"/>
      <c r="AA297" s="124"/>
    </row>
  </sheetData>
  <mergeCells count="16">
    <mergeCell ref="A1:B1"/>
    <mergeCell ref="C1:F1"/>
    <mergeCell ref="A2:B2"/>
    <mergeCell ref="D2:E2"/>
    <mergeCell ref="A3:B3"/>
    <mergeCell ref="C3:E3"/>
    <mergeCell ref="A4:B4"/>
    <mergeCell ref="C4:E4"/>
    <mergeCell ref="D6:E6"/>
    <mergeCell ref="D7:E7"/>
    <mergeCell ref="A9:I9"/>
    <mergeCell ref="A10:I10"/>
    <mergeCell ref="G6:G7"/>
    <mergeCell ref="H6:H7"/>
    <mergeCell ref="M8:M10"/>
    <mergeCell ref="N6:N10"/>
  </mergeCells>
  <conditionalFormatting sqref="P$1:P$1048576">
    <cfRule type="cellIs" dxfId="0" priority="1" operator="greaterThan">
      <formula>42</formula>
    </cfRule>
  </conditionalFormatting>
  <dataValidations count="3">
    <dataValidation type="list" allowBlank="1" showInputMessage="1" showErrorMessage="1" sqref="N190 N192 N194 N197 N199 N11:N184 N227:N246">
      <formula1>DDList</formula1>
    </dataValidation>
    <dataValidation allowBlank="1" showInputMessage="1" showErrorMessage="1" sqref="D11:D246"/>
    <dataValidation type="list" allowBlank="1" showInputMessage="1" showErrorMessage="1" sqref="M11:M179 M227:M246">
      <formula1>LocalCOA</formula1>
    </dataValidation>
  </dataValidation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3"/>
  <sheetViews>
    <sheetView topLeftCell="A7" workbookViewId="0">
      <selection activeCell="D23" sqref="D23"/>
    </sheetView>
  </sheetViews>
  <sheetFormatPr defaultColWidth="10.2857142857143" defaultRowHeight="13.5" outlineLevelCol="3"/>
  <cols>
    <col min="1" max="1" width="10.2857142857143" style="88" customWidth="1"/>
    <col min="2" max="2" width="36.2857142857143" style="89" customWidth="1"/>
    <col min="3" max="3" width="10.2857142857143" style="87" customWidth="1"/>
    <col min="4" max="4" width="44.8571428571429" style="87" customWidth="1"/>
    <col min="5" max="16384" width="10.2857142857143" style="87"/>
  </cols>
  <sheetData>
    <row r="1" s="87" customFormat="1" spans="1:4">
      <c r="A1" s="90" t="s">
        <v>66</v>
      </c>
      <c r="B1" s="90"/>
      <c r="C1" s="91"/>
      <c r="D1" s="91"/>
    </row>
    <row r="2" s="87" customFormat="1" spans="1:4">
      <c r="A2" s="92" t="s">
        <v>67</v>
      </c>
      <c r="B2" s="92"/>
      <c r="C2" s="93"/>
      <c r="D2" s="93"/>
    </row>
    <row r="3" s="87" customFormat="1" ht="27" spans="1:4">
      <c r="A3" s="94">
        <v>0</v>
      </c>
      <c r="B3" s="95" t="s">
        <v>68</v>
      </c>
    </row>
    <row r="4" s="87" customFormat="1" spans="1:4">
      <c r="A4" s="94">
        <v>12</v>
      </c>
      <c r="B4" s="95" t="s">
        <v>69</v>
      </c>
    </row>
    <row r="5" s="87" customFormat="1" spans="1:4">
      <c r="A5" s="94">
        <v>31</v>
      </c>
      <c r="B5" s="95" t="s">
        <v>70</v>
      </c>
    </row>
    <row r="6" s="87" customFormat="1" spans="1:4">
      <c r="A6" s="96">
        <v>32</v>
      </c>
      <c r="B6" s="97" t="s">
        <v>71</v>
      </c>
    </row>
    <row r="7" s="87" customFormat="1" spans="1:4">
      <c r="A7" s="94">
        <v>205</v>
      </c>
      <c r="B7" s="98" t="s">
        <v>72</v>
      </c>
    </row>
    <row r="8" s="87" customFormat="1" spans="1:4">
      <c r="A8" s="94">
        <v>220</v>
      </c>
      <c r="B8" s="95" t="s">
        <v>73</v>
      </c>
    </row>
    <row r="9" s="87" customFormat="1" ht="27" spans="1:4">
      <c r="A9" s="94">
        <v>402</v>
      </c>
      <c r="B9" s="95" t="s">
        <v>74</v>
      </c>
    </row>
    <row r="10" s="87" customFormat="1" spans="1:4">
      <c r="A10" s="99">
        <v>403</v>
      </c>
      <c r="B10" s="95" t="s">
        <v>75</v>
      </c>
    </row>
    <row r="11" s="87" customFormat="1" spans="1:4">
      <c r="A11" s="99">
        <v>404</v>
      </c>
      <c r="B11" s="95" t="s">
        <v>76</v>
      </c>
    </row>
    <row r="12" s="87" customFormat="1" spans="1:4">
      <c r="A12" s="99">
        <v>405</v>
      </c>
      <c r="B12" s="95" t="s">
        <v>77</v>
      </c>
    </row>
    <row r="13" s="87" customFormat="1" ht="27" spans="1:4">
      <c r="A13" s="94">
        <v>508</v>
      </c>
      <c r="B13" s="95" t="s">
        <v>78</v>
      </c>
    </row>
    <row r="14" s="87" customFormat="1" ht="40.5" spans="1:4">
      <c r="A14" s="94">
        <v>509</v>
      </c>
      <c r="B14" s="95" t="s">
        <v>79</v>
      </c>
      <c r="C14" s="100"/>
    </row>
    <row r="15" s="87" customFormat="1" spans="1:4">
      <c r="A15" s="94">
        <v>511</v>
      </c>
      <c r="B15" s="95" t="s">
        <v>80</v>
      </c>
    </row>
    <row r="16" s="87" customFormat="1" spans="1:4">
      <c r="A16" s="94">
        <v>512</v>
      </c>
      <c r="B16" s="95" t="s">
        <v>81</v>
      </c>
    </row>
    <row r="17" s="87" customFormat="1" spans="1:2">
      <c r="A17" s="94">
        <v>513</v>
      </c>
      <c r="B17" s="95" t="s">
        <v>82</v>
      </c>
    </row>
    <row r="18" s="87" customFormat="1" spans="1:2">
      <c r="A18" s="94">
        <v>514</v>
      </c>
      <c r="B18" s="95" t="s">
        <v>83</v>
      </c>
    </row>
    <row r="19" s="87" customFormat="1" spans="1:2">
      <c r="A19" s="94">
        <v>515</v>
      </c>
      <c r="B19" s="95" t="s">
        <v>84</v>
      </c>
    </row>
    <row r="20" s="87" customFormat="1" spans="1:2">
      <c r="A20" s="94">
        <v>516</v>
      </c>
      <c r="B20" s="95" t="s">
        <v>85</v>
      </c>
    </row>
    <row r="21" s="87" customFormat="1" spans="1:2">
      <c r="A21" s="94">
        <v>517</v>
      </c>
      <c r="B21" s="95" t="s">
        <v>86</v>
      </c>
    </row>
    <row r="22" s="87" customFormat="1" spans="1:2">
      <c r="A22" s="94">
        <v>518</v>
      </c>
      <c r="B22" s="95" t="s">
        <v>87</v>
      </c>
    </row>
    <row r="23" s="87" customFormat="1" spans="1:2">
      <c r="A23" s="94">
        <v>519</v>
      </c>
      <c r="B23" s="95" t="s">
        <v>88</v>
      </c>
    </row>
    <row r="24" s="87" customFormat="1" spans="1:2">
      <c r="A24" s="94">
        <v>520</v>
      </c>
      <c r="B24" s="95" t="s">
        <v>89</v>
      </c>
    </row>
    <row r="25" s="87" customFormat="1" spans="1:2">
      <c r="A25" s="94">
        <v>521</v>
      </c>
      <c r="B25" s="95" t="s">
        <v>90</v>
      </c>
    </row>
    <row r="26" s="87" customFormat="1" spans="1:2">
      <c r="A26" s="94">
        <v>522</v>
      </c>
      <c r="B26" s="95" t="s">
        <v>91</v>
      </c>
    </row>
    <row r="27" s="87" customFormat="1" spans="1:2">
      <c r="A27" s="94">
        <v>523</v>
      </c>
      <c r="B27" s="95" t="s">
        <v>92</v>
      </c>
    </row>
    <row r="28" s="87" customFormat="1" spans="1:2">
      <c r="A28" s="94">
        <v>524</v>
      </c>
      <c r="B28" s="95" t="s">
        <v>93</v>
      </c>
    </row>
    <row r="29" s="87" customFormat="1" spans="1:2">
      <c r="A29" s="94">
        <v>525</v>
      </c>
      <c r="B29" s="95" t="s">
        <v>94</v>
      </c>
    </row>
    <row r="30" s="87" customFormat="1" spans="1:2">
      <c r="A30" s="94">
        <v>526</v>
      </c>
      <c r="B30" s="101" t="s">
        <v>95</v>
      </c>
    </row>
    <row r="31" s="87" customFormat="1" spans="1:2">
      <c r="A31" s="94">
        <v>527</v>
      </c>
      <c r="B31" s="95" t="s">
        <v>96</v>
      </c>
    </row>
    <row r="32" s="87" customFormat="1" spans="1:2">
      <c r="A32" s="94">
        <v>529</v>
      </c>
      <c r="B32" s="95" t="s">
        <v>97</v>
      </c>
    </row>
    <row r="33" s="87" customFormat="1" spans="1:2">
      <c r="A33" s="94">
        <v>530</v>
      </c>
      <c r="B33" s="95" t="s">
        <v>98</v>
      </c>
    </row>
    <row r="34" s="87" customFormat="1" spans="1:2">
      <c r="A34" s="94">
        <v>531</v>
      </c>
      <c r="B34" s="95" t="s">
        <v>99</v>
      </c>
    </row>
    <row r="35" s="87" customFormat="1" spans="1:2">
      <c r="A35" s="94">
        <v>532</v>
      </c>
      <c r="B35" s="95" t="s">
        <v>100</v>
      </c>
    </row>
    <row r="36" s="87" customFormat="1" spans="1:2">
      <c r="A36" s="94">
        <v>533</v>
      </c>
      <c r="B36" s="95" t="s">
        <v>101</v>
      </c>
    </row>
    <row r="37" s="87" customFormat="1" spans="1:2">
      <c r="A37" s="94">
        <v>534</v>
      </c>
      <c r="B37" s="95" t="s">
        <v>102</v>
      </c>
    </row>
    <row r="38" s="87" customFormat="1" spans="1:2">
      <c r="A38" s="94">
        <v>535</v>
      </c>
      <c r="B38" s="95" t="s">
        <v>103</v>
      </c>
    </row>
    <row r="39" s="87" customFormat="1" spans="1:2">
      <c r="A39" s="94">
        <v>536</v>
      </c>
      <c r="B39" s="95" t="s">
        <v>104</v>
      </c>
    </row>
    <row r="40" s="87" customFormat="1" spans="1:2">
      <c r="A40" s="94">
        <v>551</v>
      </c>
      <c r="B40" s="95" t="s">
        <v>105</v>
      </c>
    </row>
    <row r="41" s="87" customFormat="1" spans="1:2">
      <c r="A41" s="94">
        <v>556</v>
      </c>
      <c r="B41" s="95" t="s">
        <v>106</v>
      </c>
    </row>
    <row r="42" s="87" customFormat="1" spans="1:2">
      <c r="A42" s="94">
        <v>601</v>
      </c>
      <c r="B42" s="102" t="s">
        <v>107</v>
      </c>
    </row>
    <row r="43" s="87" customFormat="1" spans="1:2">
      <c r="A43" s="94">
        <v>999</v>
      </c>
      <c r="B43" s="102" t="s">
        <v>108</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30"/>
  <sheetViews>
    <sheetView topLeftCell="A36" workbookViewId="0">
      <selection activeCell="F55" sqref="F55"/>
    </sheetView>
  </sheetViews>
  <sheetFormatPr defaultColWidth="8" defaultRowHeight="12.75"/>
  <cols>
    <col min="1" max="1" width="32.8571428571429" style="2" customWidth="1"/>
    <col min="2" max="2" width="8.42857142857143" style="4" customWidth="1"/>
    <col min="3" max="3" width="16.1428571428571" style="5" customWidth="1"/>
    <col min="4" max="4" width="16.1428571428571" style="2" customWidth="1"/>
    <col min="5" max="5" width="4.14285714285714" style="2" customWidth="1"/>
    <col min="6" max="6" width="32.7142857142857" style="2" customWidth="1"/>
    <col min="7" max="7" width="8.28571428571429" style="4" customWidth="1"/>
    <col min="8" max="9" width="16.1428571428571" style="6" customWidth="1"/>
    <col min="10" max="10" width="19.1428571428571" style="2" customWidth="1"/>
    <col min="11" max="11" width="8.28571428571429" style="2" customWidth="1"/>
    <col min="12" max="12" width="13.1428571428571" style="2" customWidth="1"/>
    <col min="13" max="16384" width="8" style="2"/>
  </cols>
  <sheetData>
    <row r="1" s="1" customFormat="1" spans="1:9">
      <c r="A1" s="1" t="s">
        <v>109</v>
      </c>
      <c r="B1" s="7" t="s">
        <v>110</v>
      </c>
      <c r="C1" s="8"/>
      <c r="D1" s="9" t="s">
        <v>111</v>
      </c>
      <c r="E1" s="9"/>
      <c r="F1" s="9"/>
      <c r="G1" s="10"/>
      <c r="H1" s="11" t="s">
        <v>112</v>
      </c>
      <c r="I1" s="12"/>
    </row>
    <row r="2" s="1" customFormat="1" spans="1:9">
      <c r="B2" s="7" t="s">
        <v>113</v>
      </c>
      <c r="C2" s="8"/>
      <c r="D2" s="9" t="s">
        <v>3</v>
      </c>
      <c r="E2" s="9"/>
      <c r="F2" s="9"/>
      <c r="G2" s="10"/>
      <c r="H2" s="13"/>
      <c r="I2" s="12"/>
    </row>
    <row r="3" s="1" customFormat="1" spans="1:9">
      <c r="H3" s="14"/>
      <c r="I3" s="12"/>
    </row>
    <row r="4" s="1" customFormat="1" spans="1:9">
      <c r="H4" s="12"/>
      <c r="I4" s="12"/>
    </row>
    <row r="5" s="1" customFormat="1" ht="18" spans="1:9">
      <c r="A5" s="15" t="s">
        <v>114</v>
      </c>
      <c r="B5" s="16"/>
      <c r="C5" s="16"/>
      <c r="D5" s="16"/>
      <c r="E5" s="16"/>
      <c r="F5" s="16"/>
      <c r="G5" s="16"/>
      <c r="H5" s="17"/>
      <c r="I5" s="17"/>
    </row>
    <row r="6" s="1" customFormat="1" spans="1:9">
      <c r="A6" s="18"/>
      <c r="B6" s="18"/>
      <c r="C6" s="18"/>
      <c r="D6" s="18"/>
      <c r="E6" s="18"/>
      <c r="F6" s="18"/>
      <c r="G6" s="19"/>
      <c r="I6" s="20"/>
    </row>
    <row r="7" s="1" customFormat="1" spans="1:9">
      <c r="A7" s="21" t="s">
        <v>115</v>
      </c>
      <c r="B7" s="21"/>
      <c r="C7" s="487" t="s">
        <v>116</v>
      </c>
      <c r="D7" s="23"/>
      <c r="E7" s="24" t="s">
        <v>117</v>
      </c>
      <c r="F7" s="487" t="s">
        <v>116</v>
      </c>
      <c r="G7" s="25"/>
      <c r="H7" s="12"/>
      <c r="I7" s="26"/>
    </row>
    <row r="8" s="1" customFormat="1" spans="1:9">
      <c r="B8" s="27"/>
      <c r="C8" s="28"/>
      <c r="D8" s="29"/>
      <c r="E8" s="29"/>
      <c r="F8" s="28"/>
      <c r="G8" s="19"/>
      <c r="H8" s="12"/>
      <c r="I8" s="12"/>
    </row>
    <row r="9" s="2" customFormat="1" spans="1:9">
      <c r="A9" s="30" t="s">
        <v>6</v>
      </c>
      <c r="B9" s="31" t="s">
        <v>118</v>
      </c>
      <c r="C9" s="32"/>
      <c r="D9" s="33"/>
      <c r="F9" s="30" t="s">
        <v>6</v>
      </c>
      <c r="G9" s="31" t="s">
        <v>119</v>
      </c>
      <c r="H9" s="34"/>
      <c r="I9" s="35"/>
    </row>
    <row r="10" s="3" customFormat="1" ht="24.75" customHeight="1" spans="1:9">
      <c r="A10" s="36" t="s">
        <v>120</v>
      </c>
      <c r="B10" s="37" t="s">
        <v>121</v>
      </c>
      <c r="C10" s="38" t="s">
        <v>122</v>
      </c>
      <c r="D10" s="39" t="s">
        <v>123</v>
      </c>
      <c r="F10" s="36" t="s">
        <v>120</v>
      </c>
      <c r="G10" s="37" t="s">
        <v>121</v>
      </c>
      <c r="H10" s="40" t="s">
        <v>122</v>
      </c>
      <c r="I10" s="41" t="s">
        <v>123</v>
      </c>
    </row>
    <row r="11" s="2" customFormat="1" spans="1:9">
      <c r="A11" s="42" t="s">
        <v>124</v>
      </c>
      <c r="B11" s="43"/>
      <c r="C11" s="44">
        <v>0</v>
      </c>
      <c r="D11" s="45"/>
      <c r="F11" s="42" t="s">
        <v>124</v>
      </c>
      <c r="G11" s="43"/>
      <c r="H11" s="44">
        <v>0</v>
      </c>
      <c r="I11" s="45"/>
    </row>
    <row r="12" s="2" customFormat="1" spans="1:9">
      <c r="A12" s="46" t="s">
        <v>69</v>
      </c>
      <c r="B12" s="47">
        <v>12</v>
      </c>
      <c r="C12" s="44">
        <v>0</v>
      </c>
      <c r="D12" s="44">
        <v>1</v>
      </c>
      <c r="F12" s="46" t="s">
        <v>69</v>
      </c>
      <c r="G12" s="47">
        <v>12</v>
      </c>
      <c r="H12" s="44">
        <v>0</v>
      </c>
      <c r="I12" s="48">
        <v>0</v>
      </c>
    </row>
    <row r="13" s="2" customFormat="1" spans="1:9">
      <c r="A13" s="46" t="s">
        <v>70</v>
      </c>
      <c r="B13" s="47">
        <v>31</v>
      </c>
      <c r="C13" s="44">
        <v>0</v>
      </c>
      <c r="D13" s="44">
        <v>1</v>
      </c>
      <c r="F13" s="46" t="s">
        <v>70</v>
      </c>
      <c r="G13" s="47">
        <v>31</v>
      </c>
      <c r="H13" s="44">
        <v>0</v>
      </c>
      <c r="I13" s="48">
        <v>0</v>
      </c>
    </row>
    <row r="14" s="2" customFormat="1" spans="1:9">
      <c r="A14" s="46" t="s">
        <v>71</v>
      </c>
      <c r="B14" s="47">
        <v>32</v>
      </c>
      <c r="C14" s="44">
        <v>0</v>
      </c>
      <c r="D14" s="44">
        <v>1</v>
      </c>
      <c r="F14" s="46" t="s">
        <v>71</v>
      </c>
      <c r="G14" s="47">
        <v>32</v>
      </c>
      <c r="H14" s="44">
        <v>0</v>
      </c>
      <c r="I14" s="48">
        <v>0</v>
      </c>
    </row>
    <row r="15" s="2" customFormat="1" spans="1:9">
      <c r="A15" s="46" t="s">
        <v>72</v>
      </c>
      <c r="B15" s="47">
        <v>205</v>
      </c>
      <c r="C15" s="44">
        <v>0</v>
      </c>
      <c r="D15" s="44">
        <v>1</v>
      </c>
      <c r="F15" s="46" t="s">
        <v>72</v>
      </c>
      <c r="G15" s="47">
        <v>205</v>
      </c>
      <c r="H15" s="44">
        <v>0</v>
      </c>
      <c r="I15" s="48">
        <v>0</v>
      </c>
    </row>
    <row r="16" s="2" customFormat="1" spans="1:9">
      <c r="A16" s="46" t="s">
        <v>73</v>
      </c>
      <c r="B16" s="47">
        <v>220</v>
      </c>
      <c r="C16" s="44">
        <v>0</v>
      </c>
      <c r="D16" s="44">
        <v>1</v>
      </c>
      <c r="E16" s="49"/>
      <c r="F16" s="46" t="s">
        <v>73</v>
      </c>
      <c r="G16" s="47">
        <v>220</v>
      </c>
      <c r="H16" s="44">
        <v>0</v>
      </c>
      <c r="I16" s="48">
        <v>0</v>
      </c>
    </row>
    <row r="17" s="2" customFormat="1" spans="1:9">
      <c r="A17" s="50" t="s">
        <v>105</v>
      </c>
      <c r="B17" s="47">
        <v>551</v>
      </c>
      <c r="C17" s="44">
        <v>0</v>
      </c>
      <c r="D17" s="44">
        <v>1</v>
      </c>
      <c r="F17" s="50" t="s">
        <v>105</v>
      </c>
      <c r="G17" s="47">
        <v>551</v>
      </c>
      <c r="H17" s="44">
        <v>0</v>
      </c>
      <c r="I17" s="48">
        <v>0</v>
      </c>
    </row>
    <row r="18" s="2" customFormat="1" spans="1:9">
      <c r="A18" s="46" t="s">
        <v>74</v>
      </c>
      <c r="B18" s="47">
        <v>402</v>
      </c>
      <c r="C18" s="44">
        <v>0</v>
      </c>
      <c r="D18" s="44">
        <v>1</v>
      </c>
      <c r="F18" s="46" t="s">
        <v>74</v>
      </c>
      <c r="G18" s="47">
        <v>402</v>
      </c>
      <c r="H18" s="44">
        <v>0</v>
      </c>
      <c r="I18" s="48">
        <v>0</v>
      </c>
    </row>
    <row r="19" s="2" customFormat="1" spans="1:9">
      <c r="A19" s="46" t="s">
        <v>75</v>
      </c>
      <c r="B19" s="47">
        <v>403</v>
      </c>
      <c r="C19" s="44">
        <v>0</v>
      </c>
      <c r="D19" s="44">
        <v>1</v>
      </c>
      <c r="F19" s="46" t="s">
        <v>75</v>
      </c>
      <c r="G19" s="47">
        <v>403</v>
      </c>
      <c r="H19" s="44">
        <v>0</v>
      </c>
      <c r="I19" s="48">
        <v>0</v>
      </c>
    </row>
    <row r="20" s="2" customFormat="1" spans="1:9">
      <c r="A20" s="46" t="s">
        <v>76</v>
      </c>
      <c r="B20" s="47">
        <v>404</v>
      </c>
      <c r="C20" s="44">
        <v>0</v>
      </c>
      <c r="D20" s="44">
        <v>1</v>
      </c>
      <c r="F20" s="46" t="s">
        <v>76</v>
      </c>
      <c r="G20" s="47">
        <v>404</v>
      </c>
      <c r="H20" s="44">
        <v>0</v>
      </c>
      <c r="I20" s="48">
        <v>0</v>
      </c>
    </row>
    <row r="21" s="2" customFormat="1" spans="1:9">
      <c r="A21" s="46" t="s">
        <v>77</v>
      </c>
      <c r="B21" s="47">
        <v>405</v>
      </c>
      <c r="C21" s="44">
        <v>0</v>
      </c>
      <c r="D21" s="44">
        <v>1</v>
      </c>
      <c r="F21" s="46" t="s">
        <v>77</v>
      </c>
      <c r="G21" s="47">
        <v>405</v>
      </c>
      <c r="H21" s="44">
        <v>0</v>
      </c>
      <c r="I21" s="48">
        <v>0</v>
      </c>
    </row>
    <row r="22" s="2" customFormat="1" spans="1:9">
      <c r="A22" s="46" t="s">
        <v>78</v>
      </c>
      <c r="B22" s="47">
        <v>508</v>
      </c>
      <c r="C22" s="44">
        <v>0</v>
      </c>
      <c r="D22" s="44">
        <v>1</v>
      </c>
      <c r="F22" s="46" t="s">
        <v>78</v>
      </c>
      <c r="G22" s="47">
        <v>508</v>
      </c>
      <c r="H22" s="44">
        <v>0</v>
      </c>
      <c r="I22" s="48">
        <v>0</v>
      </c>
    </row>
    <row r="23" s="2" customFormat="1" spans="1:9">
      <c r="A23" s="46" t="s">
        <v>125</v>
      </c>
      <c r="B23" s="47" t="s">
        <v>126</v>
      </c>
      <c r="C23" s="44">
        <v>0</v>
      </c>
      <c r="D23" s="44">
        <v>1</v>
      </c>
      <c r="F23" s="46" t="s">
        <v>125</v>
      </c>
      <c r="G23" s="47" t="s">
        <v>126</v>
      </c>
      <c r="H23" s="44">
        <v>0</v>
      </c>
      <c r="I23" s="48">
        <v>0</v>
      </c>
    </row>
    <row r="24" s="2" customFormat="1" spans="1:9">
      <c r="A24" s="46" t="s">
        <v>79</v>
      </c>
      <c r="B24" s="47">
        <v>509</v>
      </c>
      <c r="C24" s="44">
        <v>0</v>
      </c>
      <c r="D24" s="44">
        <v>1</v>
      </c>
      <c r="F24" s="46" t="s">
        <v>79</v>
      </c>
      <c r="G24" s="47">
        <v>509</v>
      </c>
      <c r="H24" s="44">
        <v>0</v>
      </c>
      <c r="I24" s="48">
        <v>0</v>
      </c>
    </row>
    <row r="25" s="2" customFormat="1" spans="1:9">
      <c r="A25" s="46" t="s">
        <v>80</v>
      </c>
      <c r="B25" s="47">
        <v>511</v>
      </c>
      <c r="C25" s="44">
        <v>0</v>
      </c>
      <c r="D25" s="44">
        <v>1</v>
      </c>
      <c r="F25" s="46" t="s">
        <v>80</v>
      </c>
      <c r="G25" s="47">
        <v>511</v>
      </c>
      <c r="H25" s="44">
        <v>0</v>
      </c>
      <c r="I25" s="48">
        <v>0</v>
      </c>
    </row>
    <row r="26" s="2" customFormat="1" spans="1:9">
      <c r="A26" s="46" t="s">
        <v>81</v>
      </c>
      <c r="B26" s="47">
        <v>512</v>
      </c>
      <c r="C26" s="44">
        <v>0</v>
      </c>
      <c r="D26" s="44">
        <v>1</v>
      </c>
      <c r="F26" s="46" t="s">
        <v>81</v>
      </c>
      <c r="G26" s="47">
        <v>512</v>
      </c>
      <c r="H26" s="44">
        <v>0</v>
      </c>
      <c r="I26" s="48">
        <v>0</v>
      </c>
    </row>
    <row r="27" s="2" customFormat="1" spans="1:9">
      <c r="A27" s="46" t="s">
        <v>82</v>
      </c>
      <c r="B27" s="47">
        <v>513</v>
      </c>
      <c r="C27" s="44">
        <v>0</v>
      </c>
      <c r="D27" s="44">
        <v>1</v>
      </c>
      <c r="F27" s="46" t="s">
        <v>82</v>
      </c>
      <c r="G27" s="47">
        <v>513</v>
      </c>
      <c r="H27" s="44">
        <v>0</v>
      </c>
      <c r="I27" s="48">
        <v>0</v>
      </c>
    </row>
    <row r="28" s="2" customFormat="1" spans="1:9">
      <c r="A28" s="46" t="s">
        <v>83</v>
      </c>
      <c r="B28" s="47">
        <v>514</v>
      </c>
      <c r="C28" s="44">
        <v>0</v>
      </c>
      <c r="D28" s="44">
        <v>1</v>
      </c>
      <c r="F28" s="46" t="s">
        <v>83</v>
      </c>
      <c r="G28" s="47">
        <v>514</v>
      </c>
      <c r="H28" s="44">
        <v>0</v>
      </c>
      <c r="I28" s="48">
        <v>0</v>
      </c>
    </row>
    <row r="29" s="2" customFormat="1" spans="1:9">
      <c r="A29" s="46" t="s">
        <v>84</v>
      </c>
      <c r="B29" s="47">
        <v>515</v>
      </c>
      <c r="C29" s="44">
        <v>0</v>
      </c>
      <c r="D29" s="44">
        <v>1</v>
      </c>
      <c r="F29" s="46" t="s">
        <v>84</v>
      </c>
      <c r="G29" s="47">
        <v>515</v>
      </c>
      <c r="H29" s="44">
        <v>0</v>
      </c>
      <c r="I29" s="48">
        <v>0</v>
      </c>
    </row>
    <row r="30" s="2" customFormat="1" spans="1:9">
      <c r="A30" s="46" t="s">
        <v>85</v>
      </c>
      <c r="B30" s="47">
        <v>516</v>
      </c>
      <c r="C30" s="44">
        <v>0</v>
      </c>
      <c r="D30" s="44">
        <v>1</v>
      </c>
      <c r="F30" s="46" t="s">
        <v>85</v>
      </c>
      <c r="G30" s="47">
        <v>516</v>
      </c>
      <c r="H30" s="44">
        <v>0</v>
      </c>
      <c r="I30" s="48">
        <v>0</v>
      </c>
    </row>
    <row r="31" s="2" customFormat="1" spans="1:9">
      <c r="A31" s="46" t="s">
        <v>86</v>
      </c>
      <c r="B31" s="47">
        <v>517</v>
      </c>
      <c r="C31" s="44">
        <v>0</v>
      </c>
      <c r="D31" s="44">
        <v>1</v>
      </c>
      <c r="F31" s="46" t="s">
        <v>86</v>
      </c>
      <c r="G31" s="47">
        <v>517</v>
      </c>
      <c r="H31" s="44">
        <v>0</v>
      </c>
      <c r="I31" s="48">
        <v>0</v>
      </c>
    </row>
    <row r="32" s="2" customFormat="1" spans="1:9">
      <c r="A32" s="46" t="s">
        <v>87</v>
      </c>
      <c r="B32" s="47">
        <v>518</v>
      </c>
      <c r="C32" s="44">
        <v>0</v>
      </c>
      <c r="D32" s="44">
        <v>1</v>
      </c>
      <c r="F32" s="46" t="s">
        <v>87</v>
      </c>
      <c r="G32" s="47">
        <v>518</v>
      </c>
      <c r="H32" s="44">
        <v>0</v>
      </c>
      <c r="I32" s="48">
        <v>0</v>
      </c>
    </row>
    <row r="33" s="2" customFormat="1" spans="1:9">
      <c r="A33" s="46" t="s">
        <v>88</v>
      </c>
      <c r="B33" s="47">
        <v>519</v>
      </c>
      <c r="C33" s="44">
        <v>0</v>
      </c>
      <c r="D33" s="44">
        <v>1</v>
      </c>
      <c r="F33" s="46" t="s">
        <v>88</v>
      </c>
      <c r="G33" s="47">
        <v>519</v>
      </c>
      <c r="H33" s="44">
        <v>0</v>
      </c>
      <c r="I33" s="48">
        <v>0</v>
      </c>
    </row>
    <row r="34" s="2" customFormat="1" spans="1:9">
      <c r="A34" s="46" t="s">
        <v>89</v>
      </c>
      <c r="B34" s="47">
        <v>520</v>
      </c>
      <c r="C34" s="44">
        <v>0</v>
      </c>
      <c r="D34" s="44">
        <v>1</v>
      </c>
      <c r="F34" s="46" t="s">
        <v>89</v>
      </c>
      <c r="G34" s="47">
        <v>520</v>
      </c>
      <c r="H34" s="44">
        <v>0</v>
      </c>
      <c r="I34" s="48">
        <v>0</v>
      </c>
    </row>
    <row r="35" s="2" customFormat="1" spans="1:9">
      <c r="A35" s="46" t="s">
        <v>90</v>
      </c>
      <c r="B35" s="47">
        <v>521</v>
      </c>
      <c r="C35" s="44">
        <v>0</v>
      </c>
      <c r="D35" s="44">
        <v>1</v>
      </c>
      <c r="F35" s="46" t="s">
        <v>90</v>
      </c>
      <c r="G35" s="47">
        <v>521</v>
      </c>
      <c r="H35" s="44">
        <v>0</v>
      </c>
      <c r="I35" s="48">
        <v>0</v>
      </c>
    </row>
    <row r="36" s="2" customFormat="1" spans="1:9">
      <c r="A36" s="46" t="s">
        <v>91</v>
      </c>
      <c r="B36" s="47">
        <v>522</v>
      </c>
      <c r="C36" s="44">
        <v>0</v>
      </c>
      <c r="D36" s="44">
        <v>1</v>
      </c>
      <c r="F36" s="46" t="s">
        <v>91</v>
      </c>
      <c r="G36" s="47">
        <v>522</v>
      </c>
      <c r="H36" s="44">
        <v>0</v>
      </c>
      <c r="I36" s="48">
        <v>0</v>
      </c>
    </row>
    <row r="37" s="2" customFormat="1" spans="1:9">
      <c r="A37" s="46" t="s">
        <v>92</v>
      </c>
      <c r="B37" s="47">
        <v>523</v>
      </c>
      <c r="C37" s="44">
        <v>0</v>
      </c>
      <c r="D37" s="44">
        <v>1</v>
      </c>
      <c r="F37" s="46" t="s">
        <v>92</v>
      </c>
      <c r="G37" s="47">
        <v>523</v>
      </c>
      <c r="H37" s="44">
        <v>0</v>
      </c>
      <c r="I37" s="48">
        <v>0</v>
      </c>
    </row>
    <row r="38" s="2" customFormat="1" spans="1:9">
      <c r="A38" s="46" t="s">
        <v>93</v>
      </c>
      <c r="B38" s="47">
        <v>524</v>
      </c>
      <c r="C38" s="44">
        <v>0</v>
      </c>
      <c r="D38" s="44">
        <v>1</v>
      </c>
      <c r="F38" s="46" t="s">
        <v>93</v>
      </c>
      <c r="G38" s="47">
        <v>524</v>
      </c>
      <c r="H38" s="44">
        <v>0</v>
      </c>
      <c r="I38" s="48">
        <v>0</v>
      </c>
    </row>
    <row r="39" s="2" customFormat="1" spans="1:9">
      <c r="A39" s="46" t="s">
        <v>94</v>
      </c>
      <c r="B39" s="47">
        <v>525</v>
      </c>
      <c r="C39" s="44">
        <v>0</v>
      </c>
      <c r="D39" s="44">
        <v>1</v>
      </c>
      <c r="F39" s="46" t="s">
        <v>94</v>
      </c>
      <c r="G39" s="47">
        <v>525</v>
      </c>
      <c r="H39" s="44">
        <v>0</v>
      </c>
      <c r="I39" s="48">
        <v>0</v>
      </c>
    </row>
    <row r="40" s="2" customFormat="1" spans="1:9">
      <c r="A40" s="46" t="s">
        <v>95</v>
      </c>
      <c r="B40" s="47">
        <v>526</v>
      </c>
      <c r="C40" s="44">
        <v>0</v>
      </c>
      <c r="D40" s="44">
        <v>1</v>
      </c>
      <c r="F40" s="46" t="s">
        <v>95</v>
      </c>
      <c r="G40" s="47">
        <v>526</v>
      </c>
      <c r="H40" s="44">
        <v>0</v>
      </c>
      <c r="I40" s="48">
        <v>0</v>
      </c>
    </row>
    <row r="41" s="2" customFormat="1" spans="1:9">
      <c r="A41" s="46" t="s">
        <v>96</v>
      </c>
      <c r="B41" s="47">
        <v>527</v>
      </c>
      <c r="C41" s="44">
        <v>0</v>
      </c>
      <c r="D41" s="44">
        <v>1</v>
      </c>
      <c r="F41" s="46" t="s">
        <v>96</v>
      </c>
      <c r="G41" s="47">
        <v>527</v>
      </c>
      <c r="H41" s="44">
        <v>0</v>
      </c>
      <c r="I41" s="48">
        <v>0</v>
      </c>
    </row>
    <row r="42" s="2" customFormat="1" spans="1:9">
      <c r="A42" s="46" t="s">
        <v>97</v>
      </c>
      <c r="B42" s="47">
        <v>529</v>
      </c>
      <c r="C42" s="44">
        <v>0</v>
      </c>
      <c r="D42" s="44">
        <v>1</v>
      </c>
      <c r="F42" s="46" t="s">
        <v>97</v>
      </c>
      <c r="G42" s="47">
        <v>529</v>
      </c>
      <c r="H42" s="44">
        <v>0</v>
      </c>
      <c r="I42" s="48">
        <v>0</v>
      </c>
    </row>
    <row r="43" s="2" customFormat="1" spans="1:9">
      <c r="A43" s="46" t="s">
        <v>98</v>
      </c>
      <c r="B43" s="47">
        <v>530</v>
      </c>
      <c r="C43" s="44">
        <v>0</v>
      </c>
      <c r="D43" s="44">
        <v>1</v>
      </c>
      <c r="F43" s="46" t="s">
        <v>98</v>
      </c>
      <c r="G43" s="47">
        <v>530</v>
      </c>
      <c r="H43" s="44">
        <v>0</v>
      </c>
      <c r="I43" s="48">
        <v>0</v>
      </c>
    </row>
    <row r="44" s="2" customFormat="1" spans="1:9">
      <c r="A44" s="46" t="s">
        <v>99</v>
      </c>
      <c r="B44" s="47">
        <v>531</v>
      </c>
      <c r="C44" s="44">
        <v>0</v>
      </c>
      <c r="D44" s="44">
        <v>1</v>
      </c>
      <c r="F44" s="46" t="s">
        <v>99</v>
      </c>
      <c r="G44" s="47">
        <v>531</v>
      </c>
      <c r="H44" s="44">
        <v>0</v>
      </c>
      <c r="I44" s="48">
        <v>0</v>
      </c>
    </row>
    <row r="45" s="2" customFormat="1" spans="1:9">
      <c r="A45" s="46" t="s">
        <v>100</v>
      </c>
      <c r="B45" s="47">
        <v>532</v>
      </c>
      <c r="C45" s="44">
        <v>0</v>
      </c>
      <c r="D45" s="44">
        <v>1</v>
      </c>
      <c r="F45" s="46" t="s">
        <v>100</v>
      </c>
      <c r="G45" s="47">
        <v>532</v>
      </c>
      <c r="H45" s="44">
        <v>0</v>
      </c>
      <c r="I45" s="48">
        <v>0</v>
      </c>
    </row>
    <row r="46" s="2" customFormat="1" spans="1:9">
      <c r="A46" s="46" t="s">
        <v>101</v>
      </c>
      <c r="B46" s="47">
        <v>533</v>
      </c>
      <c r="C46" s="44">
        <v>0</v>
      </c>
      <c r="D46" s="44">
        <v>1</v>
      </c>
      <c r="F46" s="46" t="s">
        <v>101</v>
      </c>
      <c r="G46" s="47">
        <v>533</v>
      </c>
      <c r="H46" s="44">
        <v>0</v>
      </c>
      <c r="I46" s="48">
        <v>0</v>
      </c>
    </row>
    <row r="47" s="2" customFormat="1" spans="1:9">
      <c r="A47" s="46" t="s">
        <v>102</v>
      </c>
      <c r="B47" s="47">
        <v>534</v>
      </c>
      <c r="C47" s="44">
        <v>0</v>
      </c>
      <c r="D47" s="44">
        <v>1</v>
      </c>
      <c r="F47" s="46" t="s">
        <v>102</v>
      </c>
      <c r="G47" s="47">
        <v>534</v>
      </c>
      <c r="H47" s="44">
        <v>0</v>
      </c>
      <c r="I47" s="48">
        <v>0</v>
      </c>
    </row>
    <row r="48" s="2" customFormat="1" spans="1:9">
      <c r="A48" s="46" t="s">
        <v>103</v>
      </c>
      <c r="B48" s="47">
        <v>535</v>
      </c>
      <c r="C48" s="44">
        <v>0</v>
      </c>
      <c r="D48" s="44">
        <v>1</v>
      </c>
      <c r="F48" s="46" t="s">
        <v>103</v>
      </c>
      <c r="G48" s="47">
        <v>535</v>
      </c>
      <c r="H48" s="44">
        <v>0</v>
      </c>
      <c r="I48" s="48">
        <v>0</v>
      </c>
    </row>
    <row r="49" s="2" customFormat="1" spans="1:13">
      <c r="A49" s="51" t="s">
        <v>104</v>
      </c>
      <c r="B49" s="52">
        <v>536</v>
      </c>
      <c r="C49" s="44">
        <v>0</v>
      </c>
      <c r="D49" s="44">
        <v>1</v>
      </c>
      <c r="F49" s="51" t="s">
        <v>104</v>
      </c>
      <c r="G49" s="52">
        <v>536</v>
      </c>
      <c r="H49" s="44">
        <v>0</v>
      </c>
      <c r="I49" s="48">
        <v>0</v>
      </c>
    </row>
    <row r="50" s="2" customFormat="1" spans="1:13">
      <c r="A50" s="51" t="s">
        <v>108</v>
      </c>
      <c r="B50" s="52">
        <v>999</v>
      </c>
      <c r="C50" s="44">
        <v>0</v>
      </c>
      <c r="D50" s="44">
        <v>1</v>
      </c>
      <c r="F50" s="51" t="s">
        <v>108</v>
      </c>
      <c r="G50" s="52">
        <v>999</v>
      </c>
      <c r="H50" s="44">
        <v>0</v>
      </c>
      <c r="I50" s="48">
        <v>0</v>
      </c>
    </row>
    <row r="51" s="2" customFormat="1" spans="1:13">
      <c r="A51" s="51" t="s">
        <v>68</v>
      </c>
      <c r="B51" s="52">
        <v>0</v>
      </c>
      <c r="C51" s="44">
        <v>0</v>
      </c>
      <c r="D51" s="44">
        <v>1</v>
      </c>
      <c r="F51" s="51" t="s">
        <v>68</v>
      </c>
      <c r="G51" s="52">
        <v>0</v>
      </c>
      <c r="H51" s="44">
        <v>0</v>
      </c>
      <c r="I51" s="48">
        <v>0</v>
      </c>
    </row>
    <row r="52" s="2" customFormat="1" spans="1:13">
      <c r="A52" s="51"/>
      <c r="B52" s="52"/>
      <c r="C52" s="53"/>
      <c r="D52" s="54"/>
      <c r="F52" s="51"/>
      <c r="G52" s="52"/>
      <c r="H52" s="55"/>
      <c r="I52" s="56"/>
    </row>
    <row r="53" s="2" customFormat="1" spans="1:13">
      <c r="A53" s="57" t="s">
        <v>127</v>
      </c>
      <c r="B53" s="58"/>
      <c r="C53" s="59">
        <f>SUM(C11:C52)</f>
        <v>0</v>
      </c>
      <c r="D53" s="60">
        <f>SUM(D11:D51)</f>
        <v>40</v>
      </c>
      <c r="F53" s="57" t="s">
        <v>127</v>
      </c>
      <c r="G53" s="58"/>
      <c r="H53" s="59">
        <f>SUM(H11:H52)</f>
        <v>0</v>
      </c>
      <c r="I53" s="60">
        <f>SUM(I11:I51)</f>
        <v>0</v>
      </c>
      <c r="K53" s="61"/>
    </row>
    <row r="54" s="2" customFormat="1" spans="1:13">
      <c r="A54" s="62" t="s">
        <v>34</v>
      </c>
      <c r="B54" s="63"/>
      <c r="C54" s="64"/>
      <c r="D54" s="65">
        <f>ROUND(C53-D53,2)</f>
        <v>-40</v>
      </c>
      <c r="F54" s="62" t="s">
        <v>34</v>
      </c>
      <c r="G54" s="63"/>
      <c r="H54" s="64"/>
      <c r="I54" s="65">
        <f>ROUND(H53-I53,2)</f>
        <v>0</v>
      </c>
      <c r="J54" s="6"/>
    </row>
    <row r="55" s="2" customFormat="1" spans="1:13">
      <c r="A55" s="66" t="s">
        <v>128</v>
      </c>
      <c r="B55" s="67"/>
      <c r="C55" s="68"/>
      <c r="D55" s="69"/>
      <c r="F55" s="66" t="s">
        <v>128</v>
      </c>
      <c r="G55" s="67"/>
      <c r="H55" s="68"/>
      <c r="I55" s="69"/>
    </row>
    <row r="56" s="2" customFormat="1" spans="1:13">
      <c r="A56" s="70" t="s">
        <v>129</v>
      </c>
      <c r="B56" s="71"/>
      <c r="C56" s="72"/>
      <c r="D56" s="73">
        <v>0</v>
      </c>
      <c r="F56" s="70" t="s">
        <v>129</v>
      </c>
      <c r="G56" s="71"/>
      <c r="H56" s="72"/>
      <c r="I56" s="73">
        <v>0</v>
      </c>
      <c r="J56" s="49"/>
      <c r="K56" s="6"/>
      <c r="L56" s="6"/>
    </row>
    <row r="57" s="2" customFormat="1" spans="1:13">
      <c r="A57" s="70" t="s">
        <v>130</v>
      </c>
      <c r="B57" s="71"/>
      <c r="C57" s="72"/>
      <c r="D57" s="73">
        <v>0</v>
      </c>
      <c r="F57" s="70" t="s">
        <v>130</v>
      </c>
      <c r="G57" s="71"/>
      <c r="H57" s="72"/>
      <c r="I57" s="73">
        <v>0</v>
      </c>
    </row>
    <row r="58" s="2" customFormat="1" spans="1:13">
      <c r="A58" s="70" t="s">
        <v>131</v>
      </c>
      <c r="B58" s="71"/>
      <c r="C58" s="72"/>
      <c r="D58" s="74">
        <v>0</v>
      </c>
      <c r="F58" s="70" t="s">
        <v>132</v>
      </c>
      <c r="G58" s="71"/>
      <c r="H58" s="72"/>
      <c r="I58" s="75">
        <v>0</v>
      </c>
    </row>
    <row r="59" s="2" customFormat="1" spans="1:13">
      <c r="A59" s="76" t="s">
        <v>133</v>
      </c>
      <c r="B59" s="77"/>
      <c r="C59" s="78"/>
      <c r="D59" s="79">
        <f>ROUND(SUM(C56:D58),2)</f>
        <v>0</v>
      </c>
      <c r="F59" s="76" t="s">
        <v>133</v>
      </c>
      <c r="G59" s="77"/>
      <c r="H59" s="78"/>
      <c r="I59" s="79">
        <f>ROUND(SUM(H56:I58),2)</f>
        <v>0</v>
      </c>
      <c r="K59" s="6"/>
      <c r="L59" s="6"/>
      <c r="M59" s="6"/>
    </row>
    <row r="60" s="2" customFormat="1" spans="1:13">
      <c r="A60" s="80"/>
      <c r="B60" s="81"/>
      <c r="C60" s="81"/>
      <c r="D60" s="81"/>
      <c r="F60" s="80"/>
      <c r="G60" s="81"/>
      <c r="H60" s="82"/>
      <c r="I60" s="82"/>
      <c r="J60" s="6"/>
      <c r="K60" s="6"/>
      <c r="L60" s="6"/>
      <c r="M60" s="6"/>
    </row>
    <row r="61" s="2" customFormat="1" spans="1:13">
      <c r="B61" s="4"/>
      <c r="C61" s="5"/>
      <c r="D61" s="83"/>
      <c r="G61" s="4"/>
      <c r="H61" s="84"/>
      <c r="I61" s="6"/>
      <c r="K61" s="6"/>
      <c r="L61" s="6"/>
      <c r="M61" s="6"/>
    </row>
    <row r="62" s="2" customFormat="1" spans="1:13">
      <c r="B62" s="4"/>
      <c r="C62" s="5"/>
      <c r="G62" s="4"/>
      <c r="H62" s="84"/>
      <c r="I62" s="6"/>
      <c r="K62" s="6"/>
      <c r="L62" s="6"/>
      <c r="M62" s="6"/>
    </row>
    <row r="64" s="2" customFormat="1" spans="1:13">
      <c r="B64" s="4"/>
      <c r="C64" s="5"/>
      <c r="G64" s="4"/>
      <c r="H64" s="6"/>
    </row>
    <row r="65" s="2" customFormat="1" spans="2:8">
      <c r="B65" s="4"/>
      <c r="C65" s="5"/>
      <c r="G65" s="4"/>
    </row>
    <row r="66" s="2" customFormat="1" spans="2:8">
      <c r="B66" s="4"/>
      <c r="C66" s="5"/>
      <c r="G66" s="4"/>
    </row>
    <row r="67" s="2" customFormat="1" spans="2:8">
      <c r="B67" s="4"/>
      <c r="C67" s="5"/>
      <c r="G67" s="4"/>
      <c r="H67" s="6"/>
    </row>
    <row r="68" s="2" customFormat="1" spans="2:8">
      <c r="B68" s="4"/>
      <c r="C68" s="5"/>
      <c r="G68" s="4"/>
      <c r="H68" s="6"/>
    </row>
    <row r="69" s="2" customFormat="1" spans="2:8">
      <c r="B69" s="4"/>
      <c r="C69" s="5"/>
      <c r="G69" s="4"/>
      <c r="H69" s="6"/>
    </row>
    <row r="70" s="2" customFormat="1" spans="2:8">
      <c r="B70" s="4"/>
      <c r="C70" s="5"/>
      <c r="G70" s="4"/>
      <c r="H70" s="6"/>
    </row>
    <row r="117" s="2" customFormat="1" spans="2:9">
      <c r="B117" s="4"/>
      <c r="C117" s="5"/>
      <c r="F117" s="85"/>
      <c r="G117" s="4"/>
      <c r="H117" s="6"/>
      <c r="I117" s="6"/>
    </row>
    <row r="118" s="2" customFormat="1" spans="2:9">
      <c r="B118" s="4"/>
      <c r="C118" s="5"/>
      <c r="F118" s="85"/>
      <c r="G118" s="4"/>
      <c r="H118" s="6"/>
      <c r="I118" s="6"/>
    </row>
    <row r="119" s="2" customFormat="1" spans="2:9">
      <c r="B119" s="4"/>
      <c r="C119" s="5"/>
      <c r="F119" s="85"/>
      <c r="G119" s="4"/>
      <c r="H119" s="6"/>
      <c r="I119" s="6"/>
    </row>
    <row r="120" s="2" customFormat="1" spans="2:9">
      <c r="B120" s="4"/>
      <c r="C120" s="5"/>
      <c r="F120" s="85"/>
      <c r="G120" s="4"/>
      <c r="H120" s="6"/>
      <c r="I120" s="6"/>
    </row>
    <row r="121" s="2" customFormat="1" spans="2:9">
      <c r="B121" s="4"/>
      <c r="C121" s="5"/>
      <c r="F121" s="85"/>
      <c r="G121" s="4"/>
      <c r="H121" s="6"/>
      <c r="I121" s="6"/>
    </row>
    <row r="122" s="2" customFormat="1" spans="2:9">
      <c r="B122" s="4"/>
      <c r="C122" s="5"/>
      <c r="F122" s="85"/>
      <c r="G122" s="4"/>
      <c r="H122" s="6"/>
      <c r="I122" s="6"/>
    </row>
    <row r="123" s="2" customFormat="1" spans="2:9">
      <c r="B123" s="4"/>
      <c r="C123" s="5"/>
      <c r="F123" s="85"/>
      <c r="G123" s="4"/>
      <c r="H123" s="6"/>
      <c r="I123" s="6"/>
    </row>
    <row r="124" s="2" customFormat="1" spans="2:9">
      <c r="B124" s="4"/>
      <c r="C124" s="5"/>
      <c r="F124" s="85"/>
      <c r="G124" s="4"/>
      <c r="H124" s="6"/>
      <c r="I124" s="6"/>
    </row>
    <row r="125" s="2" customFormat="1" spans="2:9">
      <c r="B125" s="4"/>
      <c r="C125" s="5"/>
      <c r="F125" s="85"/>
      <c r="G125" s="4"/>
      <c r="H125" s="6"/>
      <c r="I125" s="6"/>
    </row>
    <row r="126" s="2" customFormat="1" spans="2:9">
      <c r="B126" s="4"/>
      <c r="C126" s="5"/>
      <c r="F126" s="85"/>
      <c r="G126" s="4"/>
      <c r="H126" s="6"/>
      <c r="I126" s="6"/>
    </row>
    <row r="127" s="2" customFormat="1" spans="2:9">
      <c r="B127" s="4"/>
      <c r="C127" s="5"/>
      <c r="F127" s="85"/>
      <c r="G127" s="4"/>
      <c r="H127" s="6"/>
      <c r="I127" s="6"/>
    </row>
    <row r="128" s="2" customFormat="1" spans="2:9">
      <c r="B128" s="4"/>
      <c r="C128" s="5"/>
      <c r="F128" s="85"/>
      <c r="G128" s="4"/>
      <c r="H128" s="6"/>
      <c r="I128" s="6"/>
    </row>
    <row r="129" s="2" customFormat="1" spans="2:9">
      <c r="B129" s="4"/>
      <c r="C129" s="5"/>
      <c r="F129" s="85"/>
      <c r="G129" s="4"/>
      <c r="H129" s="6"/>
      <c r="I129" s="6"/>
    </row>
    <row r="130" s="2" customFormat="1" ht="13.5" spans="2:9">
      <c r="B130" s="4"/>
      <c r="C130" s="5"/>
      <c r="F130" s="86"/>
      <c r="G130" s="4"/>
      <c r="H130" s="6"/>
      <c r="I130" s="6"/>
    </row>
  </sheetData>
  <pageMargins left="0.75" right="0.75" top="1" bottom="1" header="0.5" footer="0.5"/>
  <headerFooter/>
  <drawing r:id="rId2"/>
  <legacyDrawing r:id="rId3"/>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6</vt:i4>
      </vt:variant>
    </vt:vector>
  </HeadingPairs>
  <TitlesOfParts>
    <vt:vector size="6" baseType="lpstr">
      <vt:lpstr>CashBook (US$bank)</vt:lpstr>
      <vt:lpstr>CashBook (US$cash) </vt:lpstr>
      <vt:lpstr>CashBook (PSbank)</vt:lpstr>
      <vt:lpstr>CashBook (PScash)</vt:lpstr>
      <vt:lpstr>Account Code</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GADGETCORE</dc:creator>
  <cp:lastModifiedBy>GADGETCORE</cp:lastModifiedBy>
  <dcterms:created xsi:type="dcterms:W3CDTF">2026-06-25T06:38:00Z</dcterms:created>
  <dcterms:modified xsi:type="dcterms:W3CDTF">2026-06-28T09:03:16Z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653E3189747240E9B2C963AD1C9F2E38_11</vt:lpwstr>
  </property>
  <property fmtid="{D5CDD505-2E9C-101B-9397-08002B2CF9AE}" pid="3" name="KSOProductBuildVer">
    <vt:lpwstr>1033-12.1.0.26880</vt:lpwstr>
  </property>
  <property fmtid="{D5CDD505-2E9C-101B-9397-08002B2CF9AE}" pid="4" name="CalculationRule">
    <vt:i4>1</vt:i4>
  </property>
</Properties>
</file>